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Bus_Data" sheetId="1" state="visible" r:id="rId3"/>
    <sheet name="2_Load_Data" sheetId="2" state="visible" r:id="rId4"/>
    <sheet name="3_Branch_Data" sheetId="3" state="visible" r:id="rId5"/>
    <sheet name="4_Generator_Data" sheetId="4" state="visible" r:id="rId6"/>
    <sheet name="5_PSSE_Entry_Guide" sheetId="5" state="visible" r:id="rId7"/>
    <sheet name="6_Comparison_Tab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<sst xmlns="http://schemas.openxmlformats.org/spreadsheetml/2006/main" count="285" uniqueCount="140">
  <si>
    <t xml:space="preserve">IEEE 33-Bus System — BUS DATA  (PSS/E v33 format)</t>
  </si>
  <si>
    <t xml:space="preserve">  Source: Baran &amp; Wu (1989), IEEE Trans. Power Delivery 4(2)  |  Base MVA = 100  |  Frequency = 50 Hz</t>
  </si>
  <si>
    <t xml:space="preserve">Bus No.</t>
  </si>
  <si>
    <t xml:space="preserve">Bus Name</t>
  </si>
  <si>
    <t xml:space="preserve">Base kV</t>
  </si>
  <si>
    <t xml:space="preserve">Type</t>
  </si>
  <si>
    <t xml:space="preserve">Area</t>
  </si>
  <si>
    <t xml:space="preserve">Zone</t>
  </si>
  <si>
    <t xml:space="preserve">Vm (pu)</t>
  </si>
  <si>
    <t xml:space="preserve">Va (deg)</t>
  </si>
  <si>
    <t xml:space="preserve">Notes</t>
  </si>
  <si>
    <t xml:space="preserve">3=Slack  1=Load</t>
  </si>
  <si>
    <t xml:space="preserve">Init=1.0</t>
  </si>
  <si>
    <t xml:space="preserve">Init=0.0</t>
  </si>
  <si>
    <t xml:space="preserve">BUS1</t>
  </si>
  <si>
    <t xml:space="preserve">SLACK BUS — Grid connection point</t>
  </si>
  <si>
    <t xml:space="preserve">BUS2</t>
  </si>
  <si>
    <t xml:space="preserve">BUS3</t>
  </si>
  <si>
    <t xml:space="preserve">BUS4</t>
  </si>
  <si>
    <t xml:space="preserve">BUS5</t>
  </si>
  <si>
    <t xml:space="preserve">BUS6</t>
  </si>
  <si>
    <t xml:space="preserve">Lateral branch point (Bus 26)</t>
  </si>
  <si>
    <t xml:space="preserve">BUS7</t>
  </si>
  <si>
    <t xml:space="preserve">BUS8</t>
  </si>
  <si>
    <t xml:space="preserve">BUS9</t>
  </si>
  <si>
    <t xml:space="preserve">BUS10</t>
  </si>
  <si>
    <t xml:space="preserve">BUS11</t>
  </si>
  <si>
    <t xml:space="preserve">BUS12</t>
  </si>
  <si>
    <t xml:space="preserve">BUS13</t>
  </si>
  <si>
    <t xml:space="preserve">BUS14</t>
  </si>
  <si>
    <t xml:space="preserve">Weakest bus — PV placement point</t>
  </si>
  <si>
    <t xml:space="preserve">BUS15</t>
  </si>
  <si>
    <t xml:space="preserve">BUS16</t>
  </si>
  <si>
    <t xml:space="preserve">BUS17</t>
  </si>
  <si>
    <t xml:space="preserve">BUS18</t>
  </si>
  <si>
    <t xml:space="preserve">End of main feeder</t>
  </si>
  <si>
    <t xml:space="preserve">BUS19</t>
  </si>
  <si>
    <t xml:space="preserve">Lateral from Bus 2</t>
  </si>
  <si>
    <t xml:space="preserve">BUS20</t>
  </si>
  <si>
    <t xml:space="preserve">BUS21</t>
  </si>
  <si>
    <t xml:space="preserve">BUS22</t>
  </si>
  <si>
    <t xml:space="preserve">End of lateral 1</t>
  </si>
  <si>
    <t xml:space="preserve">BUS23</t>
  </si>
  <si>
    <t xml:space="preserve">Lateral from Bus 3</t>
  </si>
  <si>
    <t xml:space="preserve">BUS24</t>
  </si>
  <si>
    <t xml:space="preserve">Heavy load bus</t>
  </si>
  <si>
    <t xml:space="preserve">BUS25</t>
  </si>
  <si>
    <t xml:space="preserve">Heavy load — end of lateral 2</t>
  </si>
  <si>
    <t xml:space="preserve">BUS26</t>
  </si>
  <si>
    <t xml:space="preserve">Lateral from Bus 6</t>
  </si>
  <si>
    <t xml:space="preserve">BUS27</t>
  </si>
  <si>
    <t xml:space="preserve">EV charging placement bus</t>
  </si>
  <si>
    <t xml:space="preserve">BUS28</t>
  </si>
  <si>
    <t xml:space="preserve">BUS29</t>
  </si>
  <si>
    <t xml:space="preserve">BUS30</t>
  </si>
  <si>
    <t xml:space="preserve">High reactive load</t>
  </si>
  <si>
    <t xml:space="preserve">BUS31</t>
  </si>
  <si>
    <t xml:space="preserve">2nd weakest — BESS placement</t>
  </si>
  <si>
    <t xml:space="preserve">BUS32</t>
  </si>
  <si>
    <t xml:space="preserve">BUS33</t>
  </si>
  <si>
    <t xml:space="preserve">End of lateral 3</t>
  </si>
  <si>
    <t xml:space="preserve">IEEE 33-Bus System — LOAD DATA</t>
  </si>
  <si>
    <t xml:space="preserve">  Units: MW and MVAr (not per unit)  |  Bus 1 = Slack, no load  |  Load ID = '1' for all</t>
  </si>
  <si>
    <t xml:space="preserve">Load ID</t>
  </si>
  <si>
    <t xml:space="preserve">Status</t>
  </si>
  <si>
    <t xml:space="preserve">P Load (MW)</t>
  </si>
  <si>
    <t xml:space="preserve">Q Load (MVAr)</t>
  </si>
  <si>
    <t xml:space="preserve">IP</t>
  </si>
  <si>
    <t xml:space="preserve">IQ</t>
  </si>
  <si>
    <t xml:space="preserve">1=In service</t>
  </si>
  <si>
    <t xml:space="preserve">1</t>
  </si>
  <si>
    <t xml:space="preserve">High Q load — pf = 0.32</t>
  </si>
  <si>
    <t xml:space="preserve">TOTAL</t>
  </si>
  <si>
    <t xml:space="preserve">IEEE 33-Bus System — BRANCH DATA</t>
  </si>
  <si>
    <t xml:space="preserve">  Base impedance = 12.66^2 / 100 = 1.6028 ohms  |  R_pu = R_ohm / 1.6028  |  B (line charging) = 0 for distribution network</t>
  </si>
  <si>
    <t xml:space="preserve">From Bus</t>
  </si>
  <si>
    <t xml:space="preserve">To Bus</t>
  </si>
  <si>
    <t xml:space="preserve">X (ohm)</t>
  </si>
  <si>
    <t xml:space="preserve">R (pu)</t>
  </si>
  <si>
    <t xml:space="preserve">X (pu)</t>
  </si>
  <si>
    <t xml:space="preserve">B (pu)</t>
  </si>
  <si>
    <t xml:space="preserve">Rate A (MVA)</t>
  </si>
  <si>
    <t xml:space="preserve">250</t>
  </si>
  <si>
    <t xml:space="preserve">1=In svc</t>
  </si>
  <si>
    <t xml:space="preserve">Main feeder</t>
  </si>
  <si>
    <t xml:space="preserve">Long high-impedance section</t>
  </si>
  <si>
    <t xml:space="preserve">Highest R segment</t>
  </si>
  <si>
    <t xml:space="preserve">High X segment</t>
  </si>
  <si>
    <t xml:space="preserve">Lateral 1 start — from Bus 2</t>
  </si>
  <si>
    <t xml:space="preserve">Highest R in lateral 1</t>
  </si>
  <si>
    <t xml:space="preserve">Lateral 2 start — from Bus 3</t>
  </si>
  <si>
    <t xml:space="preserve">End of lateral 2</t>
  </si>
  <si>
    <t xml:space="preserve">Lateral 3 start — from Bus 6</t>
  </si>
  <si>
    <t xml:space="preserve">IEEE 33-Bus System — GENERATOR DATA</t>
  </si>
  <si>
    <t xml:space="preserve">  Only one generator at Bus 1 (slack bus). PSS/E will solve for P and Q to balance the system.</t>
  </si>
  <si>
    <t xml:space="preserve">Gen ID</t>
  </si>
  <si>
    <t xml:space="preserve">PG (MW)</t>
  </si>
  <si>
    <t xml:space="preserve">QG (MVAr)</t>
  </si>
  <si>
    <t xml:space="preserve">Qmax (MVAr)</t>
  </si>
  <si>
    <t xml:space="preserve">Qmin (MVAr)</t>
  </si>
  <si>
    <t xml:space="preserve">  NOTE: PG and QG = 0.0 as initial values only. PSS/E solves these during load flow.</t>
  </si>
  <si>
    <t xml:space="preserve">PSS/E v33 Data Entry Guide — IEEE 33-Bus System</t>
  </si>
  <si>
    <t xml:space="preserve">STEP</t>
  </si>
  <si>
    <t xml:space="preserve">ACTION IN PSS/E</t>
  </si>
  <si>
    <t xml:space="preserve">NOTES</t>
  </si>
  <si>
    <t xml:space="preserve">File -&gt; New Case</t>
  </si>
  <si>
    <t xml:space="preserve">Set Base MVA = 100, Frequency = 50 Hz</t>
  </si>
  <si>
    <t xml:space="preserve">2</t>
  </si>
  <si>
    <t xml:space="preserve">Network -&gt; Buses -&gt; Add rows from Sheet 1_Bus_Data</t>
  </si>
  <si>
    <t xml:space="preserve">Enter all 33 buses. Bus 1 Type=3 (slack), rest Type=1</t>
  </si>
  <si>
    <t xml:space="preserve">3</t>
  </si>
  <si>
    <t xml:space="preserve">Network -&gt; Loads -&gt; Add rows from Sheet 2_Load_Data</t>
  </si>
  <si>
    <t xml:space="preserve">No load at Bus 1. Load ID = '1' for all</t>
  </si>
  <si>
    <t xml:space="preserve">4</t>
  </si>
  <si>
    <t xml:space="preserve">Network -&gt; Branches -&gt; Add rows from Sheet 3_Branch_Data</t>
  </si>
  <si>
    <t xml:space="preserve">Use R(pu) and X(pu) columns. B=0, Rate=250 MVA</t>
  </si>
  <si>
    <t xml:space="preserve">5</t>
  </si>
  <si>
    <t xml:space="preserve">Network -&gt; Machines -&gt; Add row from Sheet 4_Generator_Data</t>
  </si>
  <si>
    <t xml:space="preserve">Slack generator at Bus 1 only</t>
  </si>
  <si>
    <t xml:space="preserve">6</t>
  </si>
  <si>
    <t xml:space="preserve">Power Flow -&gt; Solution -&gt; Newton Raphson Load Flow</t>
  </si>
  <si>
    <t xml:space="preserve">Keep default settings and click Solve</t>
  </si>
  <si>
    <t xml:space="preserve">7</t>
  </si>
  <si>
    <t xml:space="preserve">Power Flow -&gt; Reports -&gt; Bus Voltage and Angle Report</t>
  </si>
  <si>
    <t xml:space="preserve">Record Vm(pu) for all 33 buses</t>
  </si>
  <si>
    <t xml:space="preserve">8</t>
  </si>
  <si>
    <t xml:space="preserve">Power Flow -&gt; Reports -&gt; System Summation Report</t>
  </si>
  <si>
    <t xml:space="preserve">Record total MW losses</t>
  </si>
  <si>
    <t xml:space="preserve">9</t>
  </si>
  <si>
    <t xml:space="preserve">File -&gt; Save Case As -&gt; IEEE33bus.sav</t>
  </si>
  <si>
    <t xml:space="preserve">Save for future use</t>
  </si>
  <si>
    <t xml:space="preserve">10</t>
  </si>
  <si>
    <t xml:space="preserve">Compare results with pandapower column in Sheet 6</t>
  </si>
  <si>
    <t xml:space="preserve">Fill in PSS/E column after solving</t>
  </si>
  <si>
    <t xml:space="preserve">Bus Voltage Comparison — pandapower vs PSS/E v33</t>
  </si>
  <si>
    <t xml:space="preserve">  Fill PSS/E column after running load flow in PSS/E. Difference should be &lt; 0.0005 pu for all buses.</t>
  </si>
  <si>
    <t xml:space="preserve">pandapower (pu)</t>
  </si>
  <si>
    <t xml:space="preserve">PSS/E v33 (pu)</t>
  </si>
  <si>
    <t xml:space="preserve">Difference (pu)</t>
  </si>
  <si>
    <t xml:space="preserve">← Enter here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</si>
</sst>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B3A6B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8888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FFF9C4"/>
        <bgColor rgb="FFFFEBEE"/>
      </patternFill>
    </fill>
    <fill>
      <patternFill patternType="solid">
        <fgColor rgb="FFD6E4F7"/>
        <bgColor rgb="FFEAF4FB"/>
      </patternFill>
    </fill>
    <fill>
      <patternFill patternType="solid">
        <fgColor rgb="FFFFEBEE"/>
        <bgColor rgb="FFEAF4FB"/>
      </patternFill>
    </fill>
    <fill>
      <patternFill patternType="solid">
        <fgColor rgb="FFEAF4FB"/>
        <bgColor rgb="FFFFEBEE"/>
      </patternFill>
    </fill>
    <fill>
      <patternFill patternType="solid">
        <fgColor rgb="FFFFFFFF"/>
        <bgColor rgb="FFEAF4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9C4"/>
      <rgbColor rgb="FFEAF4FB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8"/>
    <col collapsed="false" customWidth="true" hidden="false" outlineLevel="0" max="6" min="5" style="1" width="7"/>
    <col collapsed="false" customWidth="true" hidden="false" outlineLevel="0" max="8" min="7" style="1" width="10"/>
    <col collapsed="false" customWidth="true" hidden="false" outlineLevel="0" max="9" min="9" style="1" width="30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customFormat="false" ht="15" hidden="false" customHeight="true" outlineLevel="0" collapsed="false">
      <c r="D4" s="5" t="s">
        <v>11</v>
      </c>
      <c r="G4" s="5" t="s">
        <v>12</v>
      </c>
      <c r="H4" s="5" t="s">
        <v>13</v>
      </c>
    </row>
    <row r="5" customFormat="false" ht="15" hidden="false" customHeight="true" outlineLevel="0" collapsed="false">
      <c r="A5" s="6" t="n">
        <v>1</v>
      </c>
      <c r="B5" s="6" t="s">
        <v>14</v>
      </c>
      <c r="C5" s="6" t="n">
        <v>12.66</v>
      </c>
      <c r="D5" s="6" t="n">
        <v>3</v>
      </c>
      <c r="E5" s="6" t="n">
        <v>1</v>
      </c>
      <c r="F5" s="6" t="n">
        <v>1</v>
      </c>
      <c r="G5" s="6" t="n">
        <v>1</v>
      </c>
      <c r="H5" s="6" t="n">
        <v>0</v>
      </c>
      <c r="I5" s="6" t="s">
        <v>15</v>
      </c>
    </row>
    <row r="6" customFormat="false" ht="15" hidden="false" customHeight="true" outlineLevel="0" collapsed="false">
      <c r="A6" s="7" t="n">
        <v>2</v>
      </c>
      <c r="B6" s="7" t="s">
        <v>16</v>
      </c>
      <c r="C6" s="7" t="n">
        <v>12.66</v>
      </c>
      <c r="D6" s="7" t="n">
        <v>1</v>
      </c>
      <c r="E6" s="7" t="n">
        <v>1</v>
      </c>
      <c r="F6" s="7" t="n">
        <v>1</v>
      </c>
      <c r="G6" s="7" t="n">
        <v>1</v>
      </c>
      <c r="H6" s="7" t="n">
        <v>0</v>
      </c>
      <c r="I6" s="7"/>
    </row>
    <row r="7" customFormat="false" ht="15" hidden="false" customHeight="true" outlineLevel="0" collapsed="false">
      <c r="A7" s="8" t="n">
        <v>3</v>
      </c>
      <c r="B7" s="8" t="s">
        <v>17</v>
      </c>
      <c r="C7" s="8" t="n">
        <v>12.66</v>
      </c>
      <c r="D7" s="8" t="n">
        <v>1</v>
      </c>
      <c r="E7" s="8" t="n">
        <v>1</v>
      </c>
      <c r="F7" s="8" t="n">
        <v>1</v>
      </c>
      <c r="G7" s="8" t="n">
        <v>1</v>
      </c>
      <c r="H7" s="8" t="n">
        <v>0</v>
      </c>
      <c r="I7" s="8"/>
    </row>
    <row r="8" customFormat="false" ht="15" hidden="false" customHeight="true" outlineLevel="0" collapsed="false">
      <c r="A8" s="7" t="n">
        <v>4</v>
      </c>
      <c r="B8" s="7" t="s">
        <v>18</v>
      </c>
      <c r="C8" s="7" t="n">
        <v>12.66</v>
      </c>
      <c r="D8" s="7" t="n">
        <v>1</v>
      </c>
      <c r="E8" s="7" t="n">
        <v>1</v>
      </c>
      <c r="F8" s="7" t="n">
        <v>1</v>
      </c>
      <c r="G8" s="7" t="n">
        <v>1</v>
      </c>
      <c r="H8" s="7" t="n">
        <v>0</v>
      </c>
      <c r="I8" s="7"/>
    </row>
    <row r="9" customFormat="false" ht="15" hidden="false" customHeight="true" outlineLevel="0" collapsed="false">
      <c r="A9" s="8" t="n">
        <v>5</v>
      </c>
      <c r="B9" s="8" t="s">
        <v>19</v>
      </c>
      <c r="C9" s="8" t="n">
        <v>12.66</v>
      </c>
      <c r="D9" s="8" t="n">
        <v>1</v>
      </c>
      <c r="E9" s="8" t="n">
        <v>1</v>
      </c>
      <c r="F9" s="8" t="n">
        <v>1</v>
      </c>
      <c r="G9" s="8" t="n">
        <v>1</v>
      </c>
      <c r="H9" s="8" t="n">
        <v>0</v>
      </c>
      <c r="I9" s="8"/>
    </row>
    <row r="10" customFormat="false" ht="15" hidden="false" customHeight="true" outlineLevel="0" collapsed="false">
      <c r="A10" s="7" t="n">
        <v>6</v>
      </c>
      <c r="B10" s="7" t="s">
        <v>20</v>
      </c>
      <c r="C10" s="7" t="n">
        <v>12.66</v>
      </c>
      <c r="D10" s="7" t="n">
        <v>1</v>
      </c>
      <c r="E10" s="7" t="n">
        <v>1</v>
      </c>
      <c r="F10" s="7" t="n">
        <v>1</v>
      </c>
      <c r="G10" s="7" t="n">
        <v>1</v>
      </c>
      <c r="H10" s="7" t="n">
        <v>0</v>
      </c>
      <c r="I10" s="7" t="s">
        <v>21</v>
      </c>
    </row>
    <row r="11" customFormat="false" ht="15" hidden="false" customHeight="true" outlineLevel="0" collapsed="false">
      <c r="A11" s="8" t="n">
        <v>7</v>
      </c>
      <c r="B11" s="8" t="s">
        <v>22</v>
      </c>
      <c r="C11" s="8" t="n">
        <v>12.66</v>
      </c>
      <c r="D11" s="8" t="n">
        <v>1</v>
      </c>
      <c r="E11" s="8" t="n">
        <v>1</v>
      </c>
      <c r="F11" s="8" t="n">
        <v>1</v>
      </c>
      <c r="G11" s="8" t="n">
        <v>1</v>
      </c>
      <c r="H11" s="8" t="n">
        <v>0</v>
      </c>
      <c r="I11" s="8"/>
    </row>
    <row r="12" customFormat="false" ht="15" hidden="false" customHeight="true" outlineLevel="0" collapsed="false">
      <c r="A12" s="7" t="n">
        <v>8</v>
      </c>
      <c r="B12" s="7" t="s">
        <v>23</v>
      </c>
      <c r="C12" s="7" t="n">
        <v>12.66</v>
      </c>
      <c r="D12" s="7" t="n">
        <v>1</v>
      </c>
      <c r="E12" s="7" t="n">
        <v>1</v>
      </c>
      <c r="F12" s="7" t="n">
        <v>1</v>
      </c>
      <c r="G12" s="7" t="n">
        <v>1</v>
      </c>
      <c r="H12" s="7" t="n">
        <v>0</v>
      </c>
      <c r="I12" s="7"/>
    </row>
    <row r="13" customFormat="false" ht="15" hidden="false" customHeight="true" outlineLevel="0" collapsed="false">
      <c r="A13" s="8" t="n">
        <v>9</v>
      </c>
      <c r="B13" s="8" t="s">
        <v>24</v>
      </c>
      <c r="C13" s="8" t="n">
        <v>12.66</v>
      </c>
      <c r="D13" s="8" t="n">
        <v>1</v>
      </c>
      <c r="E13" s="8" t="n">
        <v>1</v>
      </c>
      <c r="F13" s="8" t="n">
        <v>1</v>
      </c>
      <c r="G13" s="8" t="n">
        <v>1</v>
      </c>
      <c r="H13" s="8" t="n">
        <v>0</v>
      </c>
      <c r="I13" s="8"/>
    </row>
    <row r="14" customFormat="false" ht="15" hidden="false" customHeight="true" outlineLevel="0" collapsed="false">
      <c r="A14" s="7" t="n">
        <v>10</v>
      </c>
      <c r="B14" s="7" t="s">
        <v>25</v>
      </c>
      <c r="C14" s="7" t="n">
        <v>12.66</v>
      </c>
      <c r="D14" s="7" t="n">
        <v>1</v>
      </c>
      <c r="E14" s="7" t="n">
        <v>1</v>
      </c>
      <c r="F14" s="7" t="n">
        <v>1</v>
      </c>
      <c r="G14" s="7" t="n">
        <v>1</v>
      </c>
      <c r="H14" s="7" t="n">
        <v>0</v>
      </c>
      <c r="I14" s="7"/>
    </row>
    <row r="15" customFormat="false" ht="15" hidden="false" customHeight="true" outlineLevel="0" collapsed="false">
      <c r="A15" s="8" t="n">
        <v>11</v>
      </c>
      <c r="B15" s="8" t="s">
        <v>26</v>
      </c>
      <c r="C15" s="8" t="n">
        <v>12.66</v>
      </c>
      <c r="D15" s="8" t="n">
        <v>1</v>
      </c>
      <c r="E15" s="8" t="n">
        <v>1</v>
      </c>
      <c r="F15" s="8" t="n">
        <v>1</v>
      </c>
      <c r="G15" s="8" t="n">
        <v>1</v>
      </c>
      <c r="H15" s="8" t="n">
        <v>0</v>
      </c>
      <c r="I15" s="8"/>
    </row>
    <row r="16" customFormat="false" ht="15" hidden="false" customHeight="true" outlineLevel="0" collapsed="false">
      <c r="A16" s="7" t="n">
        <v>12</v>
      </c>
      <c r="B16" s="7" t="s">
        <v>27</v>
      </c>
      <c r="C16" s="7" t="n">
        <v>12.66</v>
      </c>
      <c r="D16" s="7" t="n">
        <v>1</v>
      </c>
      <c r="E16" s="7" t="n">
        <v>1</v>
      </c>
      <c r="F16" s="7" t="n">
        <v>1</v>
      </c>
      <c r="G16" s="7" t="n">
        <v>1</v>
      </c>
      <c r="H16" s="7" t="n">
        <v>0</v>
      </c>
      <c r="I16" s="7"/>
    </row>
    <row r="17" customFormat="false" ht="15" hidden="false" customHeight="true" outlineLevel="0" collapsed="false">
      <c r="A17" s="8" t="n">
        <v>13</v>
      </c>
      <c r="B17" s="8" t="s">
        <v>28</v>
      </c>
      <c r="C17" s="8" t="n">
        <v>12.66</v>
      </c>
      <c r="D17" s="8" t="n">
        <v>1</v>
      </c>
      <c r="E17" s="8" t="n">
        <v>1</v>
      </c>
      <c r="F17" s="8" t="n">
        <v>1</v>
      </c>
      <c r="G17" s="8" t="n">
        <v>1</v>
      </c>
      <c r="H17" s="8" t="n">
        <v>0</v>
      </c>
      <c r="I17" s="8"/>
    </row>
    <row r="18" customFormat="false" ht="15" hidden="false" customHeight="true" outlineLevel="0" collapsed="false">
      <c r="A18" s="7" t="n">
        <v>14</v>
      </c>
      <c r="B18" s="7" t="s">
        <v>29</v>
      </c>
      <c r="C18" s="7" t="n">
        <v>12.66</v>
      </c>
      <c r="D18" s="7" t="n">
        <v>1</v>
      </c>
      <c r="E18" s="7" t="n">
        <v>1</v>
      </c>
      <c r="F18" s="7" t="n">
        <v>1</v>
      </c>
      <c r="G18" s="7" t="n">
        <v>1</v>
      </c>
      <c r="H18" s="7" t="n">
        <v>0</v>
      </c>
      <c r="I18" s="7" t="s">
        <v>30</v>
      </c>
    </row>
    <row r="19" customFormat="false" ht="15" hidden="false" customHeight="true" outlineLevel="0" collapsed="false">
      <c r="A19" s="8" t="n">
        <v>15</v>
      </c>
      <c r="B19" s="8" t="s">
        <v>31</v>
      </c>
      <c r="C19" s="8" t="n">
        <v>12.66</v>
      </c>
      <c r="D19" s="8" t="n">
        <v>1</v>
      </c>
      <c r="E19" s="8" t="n">
        <v>1</v>
      </c>
      <c r="F19" s="8" t="n">
        <v>1</v>
      </c>
      <c r="G19" s="8" t="n">
        <v>1</v>
      </c>
      <c r="H19" s="8" t="n">
        <v>0</v>
      </c>
      <c r="I19" s="8"/>
    </row>
    <row r="20" customFormat="false" ht="15" hidden="false" customHeight="true" outlineLevel="0" collapsed="false">
      <c r="A20" s="7" t="n">
        <v>16</v>
      </c>
      <c r="B20" s="7" t="s">
        <v>32</v>
      </c>
      <c r="C20" s="7" t="n">
        <v>12.66</v>
      </c>
      <c r="D20" s="7" t="n">
        <v>1</v>
      </c>
      <c r="E20" s="7" t="n">
        <v>1</v>
      </c>
      <c r="F20" s="7" t="n">
        <v>1</v>
      </c>
      <c r="G20" s="7" t="n">
        <v>1</v>
      </c>
      <c r="H20" s="7" t="n">
        <v>0</v>
      </c>
      <c r="I20" s="7"/>
    </row>
    <row r="21" customFormat="false" ht="15" hidden="false" customHeight="true" outlineLevel="0" collapsed="false">
      <c r="A21" s="8" t="n">
        <v>17</v>
      </c>
      <c r="B21" s="8" t="s">
        <v>33</v>
      </c>
      <c r="C21" s="8" t="n">
        <v>12.66</v>
      </c>
      <c r="D21" s="8" t="n">
        <v>1</v>
      </c>
      <c r="E21" s="8" t="n">
        <v>1</v>
      </c>
      <c r="F21" s="8" t="n">
        <v>1</v>
      </c>
      <c r="G21" s="8" t="n">
        <v>1</v>
      </c>
      <c r="H21" s="8" t="n">
        <v>0</v>
      </c>
      <c r="I21" s="8"/>
    </row>
    <row r="22" customFormat="false" ht="15" hidden="false" customHeight="true" outlineLevel="0" collapsed="false">
      <c r="A22" s="7" t="n">
        <v>18</v>
      </c>
      <c r="B22" s="7" t="s">
        <v>34</v>
      </c>
      <c r="C22" s="7" t="n">
        <v>12.66</v>
      </c>
      <c r="D22" s="7" t="n">
        <v>1</v>
      </c>
      <c r="E22" s="7" t="n">
        <v>1</v>
      </c>
      <c r="F22" s="7" t="n">
        <v>1</v>
      </c>
      <c r="G22" s="7" t="n">
        <v>1</v>
      </c>
      <c r="H22" s="7" t="n">
        <v>0</v>
      </c>
      <c r="I22" s="7" t="s">
        <v>35</v>
      </c>
    </row>
    <row r="23" customFormat="false" ht="15" hidden="false" customHeight="true" outlineLevel="0" collapsed="false">
      <c r="A23" s="8" t="n">
        <v>19</v>
      </c>
      <c r="B23" s="8" t="s">
        <v>36</v>
      </c>
      <c r="C23" s="8" t="n">
        <v>12.66</v>
      </c>
      <c r="D23" s="8" t="n">
        <v>1</v>
      </c>
      <c r="E23" s="8" t="n">
        <v>1</v>
      </c>
      <c r="F23" s="8" t="n">
        <v>1</v>
      </c>
      <c r="G23" s="8" t="n">
        <v>1</v>
      </c>
      <c r="H23" s="8" t="n">
        <v>0</v>
      </c>
      <c r="I23" s="8" t="s">
        <v>37</v>
      </c>
    </row>
    <row r="24" customFormat="false" ht="15" hidden="false" customHeight="true" outlineLevel="0" collapsed="false">
      <c r="A24" s="7" t="n">
        <v>20</v>
      </c>
      <c r="B24" s="7" t="s">
        <v>38</v>
      </c>
      <c r="C24" s="7" t="n">
        <v>12.66</v>
      </c>
      <c r="D24" s="7" t="n">
        <v>1</v>
      </c>
      <c r="E24" s="7" t="n">
        <v>1</v>
      </c>
      <c r="F24" s="7" t="n">
        <v>1</v>
      </c>
      <c r="G24" s="7" t="n">
        <v>1</v>
      </c>
      <c r="H24" s="7" t="n">
        <v>0</v>
      </c>
      <c r="I24" s="7"/>
    </row>
    <row r="25" customFormat="false" ht="15" hidden="false" customHeight="true" outlineLevel="0" collapsed="false">
      <c r="A25" s="8" t="n">
        <v>21</v>
      </c>
      <c r="B25" s="8" t="s">
        <v>39</v>
      </c>
      <c r="C25" s="8" t="n">
        <v>12.66</v>
      </c>
      <c r="D25" s="8" t="n">
        <v>1</v>
      </c>
      <c r="E25" s="8" t="n">
        <v>1</v>
      </c>
      <c r="F25" s="8" t="n">
        <v>1</v>
      </c>
      <c r="G25" s="8" t="n">
        <v>1</v>
      </c>
      <c r="H25" s="8" t="n">
        <v>0</v>
      </c>
      <c r="I25" s="8"/>
    </row>
    <row r="26" customFormat="false" ht="15" hidden="false" customHeight="true" outlineLevel="0" collapsed="false">
      <c r="A26" s="7" t="n">
        <v>22</v>
      </c>
      <c r="B26" s="7" t="s">
        <v>40</v>
      </c>
      <c r="C26" s="7" t="n">
        <v>12.66</v>
      </c>
      <c r="D26" s="7" t="n">
        <v>1</v>
      </c>
      <c r="E26" s="7" t="n">
        <v>1</v>
      </c>
      <c r="F26" s="7" t="n">
        <v>1</v>
      </c>
      <c r="G26" s="7" t="n">
        <v>1</v>
      </c>
      <c r="H26" s="7" t="n">
        <v>0</v>
      </c>
      <c r="I26" s="7" t="s">
        <v>41</v>
      </c>
    </row>
    <row r="27" customFormat="false" ht="15" hidden="false" customHeight="true" outlineLevel="0" collapsed="false">
      <c r="A27" s="8" t="n">
        <v>23</v>
      </c>
      <c r="B27" s="8" t="s">
        <v>42</v>
      </c>
      <c r="C27" s="8" t="n">
        <v>12.66</v>
      </c>
      <c r="D27" s="8" t="n">
        <v>1</v>
      </c>
      <c r="E27" s="8" t="n">
        <v>1</v>
      </c>
      <c r="F27" s="8" t="n">
        <v>1</v>
      </c>
      <c r="G27" s="8" t="n">
        <v>1</v>
      </c>
      <c r="H27" s="8" t="n">
        <v>0</v>
      </c>
      <c r="I27" s="8" t="s">
        <v>43</v>
      </c>
    </row>
    <row r="28" customFormat="false" ht="15" hidden="false" customHeight="true" outlineLevel="0" collapsed="false">
      <c r="A28" s="7" t="n">
        <v>24</v>
      </c>
      <c r="B28" s="7" t="s">
        <v>44</v>
      </c>
      <c r="C28" s="7" t="n">
        <v>12.66</v>
      </c>
      <c r="D28" s="7" t="n">
        <v>1</v>
      </c>
      <c r="E28" s="7" t="n">
        <v>1</v>
      </c>
      <c r="F28" s="7" t="n">
        <v>1</v>
      </c>
      <c r="G28" s="7" t="n">
        <v>1</v>
      </c>
      <c r="H28" s="7" t="n">
        <v>0</v>
      </c>
      <c r="I28" s="7" t="s">
        <v>45</v>
      </c>
    </row>
    <row r="29" customFormat="false" ht="15" hidden="false" customHeight="true" outlineLevel="0" collapsed="false">
      <c r="A29" s="8" t="n">
        <v>25</v>
      </c>
      <c r="B29" s="8" t="s">
        <v>46</v>
      </c>
      <c r="C29" s="8" t="n">
        <v>12.66</v>
      </c>
      <c r="D29" s="8" t="n">
        <v>1</v>
      </c>
      <c r="E29" s="8" t="n">
        <v>1</v>
      </c>
      <c r="F29" s="8" t="n">
        <v>1</v>
      </c>
      <c r="G29" s="8" t="n">
        <v>1</v>
      </c>
      <c r="H29" s="8" t="n">
        <v>0</v>
      </c>
      <c r="I29" s="8" t="s">
        <v>47</v>
      </c>
    </row>
    <row r="30" customFormat="false" ht="15" hidden="false" customHeight="true" outlineLevel="0" collapsed="false">
      <c r="A30" s="7" t="n">
        <v>26</v>
      </c>
      <c r="B30" s="7" t="s">
        <v>48</v>
      </c>
      <c r="C30" s="7" t="n">
        <v>12.66</v>
      </c>
      <c r="D30" s="7" t="n">
        <v>1</v>
      </c>
      <c r="E30" s="7" t="n">
        <v>1</v>
      </c>
      <c r="F30" s="7" t="n">
        <v>1</v>
      </c>
      <c r="G30" s="7" t="n">
        <v>1</v>
      </c>
      <c r="H30" s="7" t="n">
        <v>0</v>
      </c>
      <c r="I30" s="7" t="s">
        <v>49</v>
      </c>
    </row>
    <row r="31" customFormat="false" ht="15" hidden="false" customHeight="true" outlineLevel="0" collapsed="false">
      <c r="A31" s="8" t="n">
        <v>27</v>
      </c>
      <c r="B31" s="8" t="s">
        <v>50</v>
      </c>
      <c r="C31" s="8" t="n">
        <v>12.66</v>
      </c>
      <c r="D31" s="8" t="n">
        <v>1</v>
      </c>
      <c r="E31" s="8" t="n">
        <v>1</v>
      </c>
      <c r="F31" s="8" t="n">
        <v>1</v>
      </c>
      <c r="G31" s="8" t="n">
        <v>1</v>
      </c>
      <c r="H31" s="8" t="n">
        <v>0</v>
      </c>
      <c r="I31" s="8" t="s">
        <v>51</v>
      </c>
    </row>
    <row r="32" customFormat="false" ht="15" hidden="false" customHeight="true" outlineLevel="0" collapsed="false">
      <c r="A32" s="7" t="n">
        <v>28</v>
      </c>
      <c r="B32" s="7" t="s">
        <v>52</v>
      </c>
      <c r="C32" s="7" t="n">
        <v>12.66</v>
      </c>
      <c r="D32" s="7" t="n">
        <v>1</v>
      </c>
      <c r="E32" s="7" t="n">
        <v>1</v>
      </c>
      <c r="F32" s="7" t="n">
        <v>1</v>
      </c>
      <c r="G32" s="7" t="n">
        <v>1</v>
      </c>
      <c r="H32" s="7" t="n">
        <v>0</v>
      </c>
      <c r="I32" s="7"/>
    </row>
    <row r="33" customFormat="false" ht="15" hidden="false" customHeight="true" outlineLevel="0" collapsed="false">
      <c r="A33" s="8" t="n">
        <v>29</v>
      </c>
      <c r="B33" s="8" t="s">
        <v>53</v>
      </c>
      <c r="C33" s="8" t="n">
        <v>12.66</v>
      </c>
      <c r="D33" s="8" t="n">
        <v>1</v>
      </c>
      <c r="E33" s="8" t="n">
        <v>1</v>
      </c>
      <c r="F33" s="8" t="n">
        <v>1</v>
      </c>
      <c r="G33" s="8" t="n">
        <v>1</v>
      </c>
      <c r="H33" s="8" t="n">
        <v>0</v>
      </c>
      <c r="I33" s="8"/>
    </row>
    <row r="34" customFormat="false" ht="15" hidden="false" customHeight="true" outlineLevel="0" collapsed="false">
      <c r="A34" s="7" t="n">
        <v>30</v>
      </c>
      <c r="B34" s="7" t="s">
        <v>54</v>
      </c>
      <c r="C34" s="7" t="n">
        <v>12.66</v>
      </c>
      <c r="D34" s="7" t="n">
        <v>1</v>
      </c>
      <c r="E34" s="7" t="n">
        <v>1</v>
      </c>
      <c r="F34" s="7" t="n">
        <v>1</v>
      </c>
      <c r="G34" s="7" t="n">
        <v>1</v>
      </c>
      <c r="H34" s="7" t="n">
        <v>0</v>
      </c>
      <c r="I34" s="7" t="s">
        <v>55</v>
      </c>
    </row>
    <row r="35" customFormat="false" ht="15" hidden="false" customHeight="true" outlineLevel="0" collapsed="false">
      <c r="A35" s="8" t="n">
        <v>31</v>
      </c>
      <c r="B35" s="8" t="s">
        <v>56</v>
      </c>
      <c r="C35" s="8" t="n">
        <v>12.66</v>
      </c>
      <c r="D35" s="8" t="n">
        <v>1</v>
      </c>
      <c r="E35" s="8" t="n">
        <v>1</v>
      </c>
      <c r="F35" s="8" t="n">
        <v>1</v>
      </c>
      <c r="G35" s="8" t="n">
        <v>1</v>
      </c>
      <c r="H35" s="8" t="n">
        <v>0</v>
      </c>
      <c r="I35" s="8" t="s">
        <v>57</v>
      </c>
    </row>
    <row r="36" customFormat="false" ht="15" hidden="false" customHeight="true" outlineLevel="0" collapsed="false">
      <c r="A36" s="7" t="n">
        <v>32</v>
      </c>
      <c r="B36" s="7" t="s">
        <v>58</v>
      </c>
      <c r="C36" s="7" t="n">
        <v>12.66</v>
      </c>
      <c r="D36" s="7" t="n">
        <v>1</v>
      </c>
      <c r="E36" s="7" t="n">
        <v>1</v>
      </c>
      <c r="F36" s="7" t="n">
        <v>1</v>
      </c>
      <c r="G36" s="7" t="n">
        <v>1</v>
      </c>
      <c r="H36" s="7" t="n">
        <v>0</v>
      </c>
      <c r="I36" s="7"/>
    </row>
    <row r="37" customFormat="false" ht="15" hidden="false" customHeight="true" outlineLevel="0" collapsed="false">
      <c r="A37" s="8" t="n">
        <v>33</v>
      </c>
      <c r="B37" s="8" t="s">
        <v>59</v>
      </c>
      <c r="C37" s="8" t="n">
        <v>12.66</v>
      </c>
      <c r="D37" s="8" t="n">
        <v>1</v>
      </c>
      <c r="E37" s="8" t="n">
        <v>1</v>
      </c>
      <c r="F37" s="8" t="n">
        <v>1</v>
      </c>
      <c r="G37" s="8" t="n">
        <v>1</v>
      </c>
      <c r="H37" s="8" t="n">
        <v>0</v>
      </c>
      <c r="I37" s="8" t="s">
        <v>60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9"/>
    <col collapsed="false" customWidth="true" hidden="false" outlineLevel="0" max="3" min="3" style="1" width="8"/>
    <col collapsed="false" customWidth="true" hidden="false" outlineLevel="0" max="4" min="4" style="1" width="14"/>
    <col collapsed="false" customWidth="true" hidden="false" outlineLevel="0" max="5" min="5" style="1" width="15"/>
    <col collapsed="false" customWidth="true" hidden="false" outlineLevel="0" max="7" min="6" style="1" width="8"/>
    <col collapsed="false" customWidth="true" hidden="false" outlineLevel="0" max="8" min="8" style="1" width="30"/>
  </cols>
  <sheetData>
    <row r="1" customFormat="false" ht="30" hidden="false" customHeight="true" outlineLevel="0" collapsed="false">
      <c r="A1" s="2" t="s">
        <v>61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62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2</v>
      </c>
      <c r="B3" s="4" t="s">
        <v>63</v>
      </c>
      <c r="C3" s="4" t="s">
        <v>64</v>
      </c>
      <c r="D3" s="4" t="s">
        <v>65</v>
      </c>
      <c r="E3" s="4" t="s">
        <v>66</v>
      </c>
      <c r="F3" s="4" t="s">
        <v>67</v>
      </c>
      <c r="G3" s="4" t="s">
        <v>68</v>
      </c>
      <c r="H3" s="4" t="s">
        <v>10</v>
      </c>
    </row>
    <row r="4" customFormat="false" ht="15" hidden="false" customHeight="true" outlineLevel="0" collapsed="false">
      <c r="C4" s="5" t="s">
        <v>69</v>
      </c>
      <c r="F4" s="5" t="n">
        <f aca="false">0</f>
        <v>0</v>
      </c>
      <c r="G4" s="5" t="n">
        <f aca="false">0</f>
        <v>0</v>
      </c>
    </row>
    <row r="5" customFormat="false" ht="15" hidden="false" customHeight="true" outlineLevel="0" collapsed="false">
      <c r="A5" s="8" t="n">
        <v>2</v>
      </c>
      <c r="B5" s="8" t="s">
        <v>70</v>
      </c>
      <c r="C5" s="8" t="n">
        <v>1</v>
      </c>
      <c r="D5" s="8" t="n">
        <v>0.1</v>
      </c>
      <c r="E5" s="8" t="n">
        <v>0.06</v>
      </c>
      <c r="F5" s="8" t="n">
        <v>0</v>
      </c>
      <c r="G5" s="8" t="n">
        <v>0</v>
      </c>
      <c r="H5" s="8"/>
    </row>
    <row r="6" customFormat="false" ht="15" hidden="false" customHeight="true" outlineLevel="0" collapsed="false">
      <c r="A6" s="7" t="n">
        <v>3</v>
      </c>
      <c r="B6" s="7" t="s">
        <v>70</v>
      </c>
      <c r="C6" s="7" t="n">
        <v>1</v>
      </c>
      <c r="D6" s="7" t="n">
        <v>0.09</v>
      </c>
      <c r="E6" s="7" t="n">
        <v>0.04</v>
      </c>
      <c r="F6" s="7" t="n">
        <v>0</v>
      </c>
      <c r="G6" s="7" t="n">
        <v>0</v>
      </c>
      <c r="H6" s="7"/>
    </row>
    <row r="7" customFormat="false" ht="15" hidden="false" customHeight="true" outlineLevel="0" collapsed="false">
      <c r="A7" s="8" t="n">
        <v>4</v>
      </c>
      <c r="B7" s="8" t="s">
        <v>70</v>
      </c>
      <c r="C7" s="8" t="n">
        <v>1</v>
      </c>
      <c r="D7" s="8" t="n">
        <v>0.12</v>
      </c>
      <c r="E7" s="8" t="n">
        <v>0.08</v>
      </c>
      <c r="F7" s="8" t="n">
        <v>0</v>
      </c>
      <c r="G7" s="8" t="n">
        <v>0</v>
      </c>
      <c r="H7" s="8"/>
    </row>
    <row r="8" customFormat="false" ht="15" hidden="false" customHeight="true" outlineLevel="0" collapsed="false">
      <c r="A8" s="7" t="n">
        <v>5</v>
      </c>
      <c r="B8" s="7" t="s">
        <v>70</v>
      </c>
      <c r="C8" s="7" t="n">
        <v>1</v>
      </c>
      <c r="D8" s="7" t="n">
        <v>0.06</v>
      </c>
      <c r="E8" s="7" t="n">
        <v>0.03</v>
      </c>
      <c r="F8" s="7" t="n">
        <v>0</v>
      </c>
      <c r="G8" s="7" t="n">
        <v>0</v>
      </c>
      <c r="H8" s="7"/>
    </row>
    <row r="9" customFormat="false" ht="15" hidden="false" customHeight="true" outlineLevel="0" collapsed="false">
      <c r="A9" s="8" t="n">
        <v>6</v>
      </c>
      <c r="B9" s="8" t="s">
        <v>70</v>
      </c>
      <c r="C9" s="8" t="n">
        <v>1</v>
      </c>
      <c r="D9" s="8" t="n">
        <v>0.06</v>
      </c>
      <c r="E9" s="8" t="n">
        <v>0.02</v>
      </c>
      <c r="F9" s="8" t="n">
        <v>0</v>
      </c>
      <c r="G9" s="8" t="n">
        <v>0</v>
      </c>
      <c r="H9" s="8"/>
    </row>
    <row r="10" customFormat="false" ht="15" hidden="false" customHeight="true" outlineLevel="0" collapsed="false">
      <c r="A10" s="7" t="n">
        <v>7</v>
      </c>
      <c r="B10" s="7" t="s">
        <v>70</v>
      </c>
      <c r="C10" s="7" t="n">
        <v>1</v>
      </c>
      <c r="D10" s="7" t="n">
        <v>0.2</v>
      </c>
      <c r="E10" s="7" t="n">
        <v>0.1</v>
      </c>
      <c r="F10" s="7" t="n">
        <v>0</v>
      </c>
      <c r="G10" s="7" t="n">
        <v>0</v>
      </c>
      <c r="H10" s="7"/>
    </row>
    <row r="11" customFormat="false" ht="15" hidden="false" customHeight="true" outlineLevel="0" collapsed="false">
      <c r="A11" s="8" t="n">
        <v>8</v>
      </c>
      <c r="B11" s="8" t="s">
        <v>70</v>
      </c>
      <c r="C11" s="8" t="n">
        <v>1</v>
      </c>
      <c r="D11" s="8" t="n">
        <v>0.2</v>
      </c>
      <c r="E11" s="8" t="n">
        <v>0.1</v>
      </c>
      <c r="F11" s="8" t="n">
        <v>0</v>
      </c>
      <c r="G11" s="8" t="n">
        <v>0</v>
      </c>
      <c r="H11" s="8"/>
    </row>
    <row r="12" customFormat="false" ht="15" hidden="false" customHeight="true" outlineLevel="0" collapsed="false">
      <c r="A12" s="7" t="n">
        <v>9</v>
      </c>
      <c r="B12" s="7" t="s">
        <v>70</v>
      </c>
      <c r="C12" s="7" t="n">
        <v>1</v>
      </c>
      <c r="D12" s="7" t="n">
        <v>0.06</v>
      </c>
      <c r="E12" s="7" t="n">
        <v>0.02</v>
      </c>
      <c r="F12" s="7" t="n">
        <v>0</v>
      </c>
      <c r="G12" s="7" t="n">
        <v>0</v>
      </c>
      <c r="H12" s="7"/>
    </row>
    <row r="13" customFormat="false" ht="15" hidden="false" customHeight="true" outlineLevel="0" collapsed="false">
      <c r="A13" s="8" t="n">
        <v>10</v>
      </c>
      <c r="B13" s="8" t="s">
        <v>70</v>
      </c>
      <c r="C13" s="8" t="n">
        <v>1</v>
      </c>
      <c r="D13" s="8" t="n">
        <v>0.06</v>
      </c>
      <c r="E13" s="8" t="n">
        <v>0.02</v>
      </c>
      <c r="F13" s="8" t="n">
        <v>0</v>
      </c>
      <c r="G13" s="8" t="n">
        <v>0</v>
      </c>
      <c r="H13" s="8"/>
    </row>
    <row r="14" customFormat="false" ht="15" hidden="false" customHeight="true" outlineLevel="0" collapsed="false">
      <c r="A14" s="7" t="n">
        <v>11</v>
      </c>
      <c r="B14" s="7" t="s">
        <v>70</v>
      </c>
      <c r="C14" s="7" t="n">
        <v>1</v>
      </c>
      <c r="D14" s="7" t="n">
        <v>0.045</v>
      </c>
      <c r="E14" s="7" t="n">
        <v>0.03</v>
      </c>
      <c r="F14" s="7" t="n">
        <v>0</v>
      </c>
      <c r="G14" s="7" t="n">
        <v>0</v>
      </c>
      <c r="H14" s="7"/>
    </row>
    <row r="15" customFormat="false" ht="15" hidden="false" customHeight="true" outlineLevel="0" collapsed="false">
      <c r="A15" s="8" t="n">
        <v>12</v>
      </c>
      <c r="B15" s="8" t="s">
        <v>70</v>
      </c>
      <c r="C15" s="8" t="n">
        <v>1</v>
      </c>
      <c r="D15" s="8" t="n">
        <v>0.06</v>
      </c>
      <c r="E15" s="8" t="n">
        <v>0.035</v>
      </c>
      <c r="F15" s="8" t="n">
        <v>0</v>
      </c>
      <c r="G15" s="8" t="n">
        <v>0</v>
      </c>
      <c r="H15" s="8"/>
    </row>
    <row r="16" customFormat="false" ht="15" hidden="false" customHeight="true" outlineLevel="0" collapsed="false">
      <c r="A16" s="7" t="n">
        <v>13</v>
      </c>
      <c r="B16" s="7" t="s">
        <v>70</v>
      </c>
      <c r="C16" s="7" t="n">
        <v>1</v>
      </c>
      <c r="D16" s="7" t="n">
        <v>0.06</v>
      </c>
      <c r="E16" s="7" t="n">
        <v>0.035</v>
      </c>
      <c r="F16" s="7" t="n">
        <v>0</v>
      </c>
      <c r="G16" s="7" t="n">
        <v>0</v>
      </c>
      <c r="H16" s="7"/>
    </row>
    <row r="17" customFormat="false" ht="15" hidden="false" customHeight="true" outlineLevel="0" collapsed="false">
      <c r="A17" s="8" t="n">
        <v>14</v>
      </c>
      <c r="B17" s="8" t="s">
        <v>70</v>
      </c>
      <c r="C17" s="8" t="n">
        <v>1</v>
      </c>
      <c r="D17" s="8" t="n">
        <v>0.12</v>
      </c>
      <c r="E17" s="8" t="n">
        <v>0.08</v>
      </c>
      <c r="F17" s="8" t="n">
        <v>0</v>
      </c>
      <c r="G17" s="8" t="n">
        <v>0</v>
      </c>
      <c r="H17" s="8"/>
    </row>
    <row r="18" customFormat="false" ht="15" hidden="false" customHeight="true" outlineLevel="0" collapsed="false">
      <c r="A18" s="7" t="n">
        <v>15</v>
      </c>
      <c r="B18" s="7" t="s">
        <v>70</v>
      </c>
      <c r="C18" s="7" t="n">
        <v>1</v>
      </c>
      <c r="D18" s="7" t="n">
        <v>0.06</v>
      </c>
      <c r="E18" s="7" t="n">
        <v>0.01</v>
      </c>
      <c r="F18" s="7" t="n">
        <v>0</v>
      </c>
      <c r="G18" s="7" t="n">
        <v>0</v>
      </c>
      <c r="H18" s="7"/>
    </row>
    <row r="19" customFormat="false" ht="15" hidden="false" customHeight="true" outlineLevel="0" collapsed="false">
      <c r="A19" s="8" t="n">
        <v>16</v>
      </c>
      <c r="B19" s="8" t="s">
        <v>70</v>
      </c>
      <c r="C19" s="8" t="n">
        <v>1</v>
      </c>
      <c r="D19" s="8" t="n">
        <v>0.06</v>
      </c>
      <c r="E19" s="8" t="n">
        <v>0.02</v>
      </c>
      <c r="F19" s="8" t="n">
        <v>0</v>
      </c>
      <c r="G19" s="8" t="n">
        <v>0</v>
      </c>
      <c r="H19" s="8"/>
    </row>
    <row r="20" customFormat="false" ht="15" hidden="false" customHeight="true" outlineLevel="0" collapsed="false">
      <c r="A20" s="7" t="n">
        <v>17</v>
      </c>
      <c r="B20" s="7" t="s">
        <v>70</v>
      </c>
      <c r="C20" s="7" t="n">
        <v>1</v>
      </c>
      <c r="D20" s="7" t="n">
        <v>0.06</v>
      </c>
      <c r="E20" s="7" t="n">
        <v>0.02</v>
      </c>
      <c r="F20" s="7" t="n">
        <v>0</v>
      </c>
      <c r="G20" s="7" t="n">
        <v>0</v>
      </c>
      <c r="H20" s="7"/>
    </row>
    <row r="21" customFormat="false" ht="15" hidden="false" customHeight="true" outlineLevel="0" collapsed="false">
      <c r="A21" s="8" t="n">
        <v>18</v>
      </c>
      <c r="B21" s="8" t="s">
        <v>70</v>
      </c>
      <c r="C21" s="8" t="n">
        <v>1</v>
      </c>
      <c r="D21" s="8" t="n">
        <v>0.09</v>
      </c>
      <c r="E21" s="8" t="n">
        <v>0.04</v>
      </c>
      <c r="F21" s="8" t="n">
        <v>0</v>
      </c>
      <c r="G21" s="8" t="n">
        <v>0</v>
      </c>
      <c r="H21" s="8"/>
    </row>
    <row r="22" customFormat="false" ht="15" hidden="false" customHeight="true" outlineLevel="0" collapsed="false">
      <c r="A22" s="7" t="n">
        <v>19</v>
      </c>
      <c r="B22" s="7" t="s">
        <v>70</v>
      </c>
      <c r="C22" s="7" t="n">
        <v>1</v>
      </c>
      <c r="D22" s="7" t="n">
        <v>0.09</v>
      </c>
      <c r="E22" s="7" t="n">
        <v>0.04</v>
      </c>
      <c r="F22" s="7" t="n">
        <v>0</v>
      </c>
      <c r="G22" s="7" t="n">
        <v>0</v>
      </c>
      <c r="H22" s="7"/>
    </row>
    <row r="23" customFormat="false" ht="15" hidden="false" customHeight="true" outlineLevel="0" collapsed="false">
      <c r="A23" s="8" t="n">
        <v>20</v>
      </c>
      <c r="B23" s="8" t="s">
        <v>70</v>
      </c>
      <c r="C23" s="8" t="n">
        <v>1</v>
      </c>
      <c r="D23" s="8" t="n">
        <v>0.09</v>
      </c>
      <c r="E23" s="8" t="n">
        <v>0.04</v>
      </c>
      <c r="F23" s="8" t="n">
        <v>0</v>
      </c>
      <c r="G23" s="8" t="n">
        <v>0</v>
      </c>
      <c r="H23" s="8"/>
    </row>
    <row r="24" customFormat="false" ht="15" hidden="false" customHeight="true" outlineLevel="0" collapsed="false">
      <c r="A24" s="7" t="n">
        <v>21</v>
      </c>
      <c r="B24" s="7" t="s">
        <v>70</v>
      </c>
      <c r="C24" s="7" t="n">
        <v>1</v>
      </c>
      <c r="D24" s="7" t="n">
        <v>0.09</v>
      </c>
      <c r="E24" s="7" t="n">
        <v>0.04</v>
      </c>
      <c r="F24" s="7" t="n">
        <v>0</v>
      </c>
      <c r="G24" s="7" t="n">
        <v>0</v>
      </c>
      <c r="H24" s="7"/>
    </row>
    <row r="25" customFormat="false" ht="15" hidden="false" customHeight="true" outlineLevel="0" collapsed="false">
      <c r="A25" s="8" t="n">
        <v>22</v>
      </c>
      <c r="B25" s="8" t="s">
        <v>70</v>
      </c>
      <c r="C25" s="8" t="n">
        <v>1</v>
      </c>
      <c r="D25" s="8" t="n">
        <v>0.09</v>
      </c>
      <c r="E25" s="8" t="n">
        <v>0.04</v>
      </c>
      <c r="F25" s="8" t="n">
        <v>0</v>
      </c>
      <c r="G25" s="8" t="n">
        <v>0</v>
      </c>
      <c r="H25" s="8"/>
    </row>
    <row r="26" customFormat="false" ht="15" hidden="false" customHeight="true" outlineLevel="0" collapsed="false">
      <c r="A26" s="7" t="n">
        <v>23</v>
      </c>
      <c r="B26" s="7" t="s">
        <v>70</v>
      </c>
      <c r="C26" s="7" t="n">
        <v>1</v>
      </c>
      <c r="D26" s="7" t="n">
        <v>0.09</v>
      </c>
      <c r="E26" s="7" t="n">
        <v>0.05</v>
      </c>
      <c r="F26" s="7" t="n">
        <v>0</v>
      </c>
      <c r="G26" s="7" t="n">
        <v>0</v>
      </c>
      <c r="H26" s="7"/>
    </row>
    <row r="27" customFormat="false" ht="15" hidden="false" customHeight="true" outlineLevel="0" collapsed="false">
      <c r="A27" s="8" t="n">
        <v>24</v>
      </c>
      <c r="B27" s="8" t="s">
        <v>70</v>
      </c>
      <c r="C27" s="8" t="n">
        <v>1</v>
      </c>
      <c r="D27" s="8" t="n">
        <v>0.42</v>
      </c>
      <c r="E27" s="8" t="n">
        <v>0.2</v>
      </c>
      <c r="F27" s="8" t="n">
        <v>0</v>
      </c>
      <c r="G27" s="8" t="n">
        <v>0</v>
      </c>
      <c r="H27" s="8" t="s">
        <v>45</v>
      </c>
    </row>
    <row r="28" customFormat="false" ht="15" hidden="false" customHeight="true" outlineLevel="0" collapsed="false">
      <c r="A28" s="7" t="n">
        <v>25</v>
      </c>
      <c r="B28" s="7" t="s">
        <v>70</v>
      </c>
      <c r="C28" s="7" t="n">
        <v>1</v>
      </c>
      <c r="D28" s="7" t="n">
        <v>0.42</v>
      </c>
      <c r="E28" s="7" t="n">
        <v>0.2</v>
      </c>
      <c r="F28" s="7" t="n">
        <v>0</v>
      </c>
      <c r="G28" s="7" t="n">
        <v>0</v>
      </c>
      <c r="H28" s="7" t="s">
        <v>45</v>
      </c>
    </row>
    <row r="29" customFormat="false" ht="15" hidden="false" customHeight="true" outlineLevel="0" collapsed="false">
      <c r="A29" s="8" t="n">
        <v>26</v>
      </c>
      <c r="B29" s="8" t="s">
        <v>70</v>
      </c>
      <c r="C29" s="8" t="n">
        <v>1</v>
      </c>
      <c r="D29" s="8" t="n">
        <v>0.06</v>
      </c>
      <c r="E29" s="8" t="n">
        <v>0.025</v>
      </c>
      <c r="F29" s="8" t="n">
        <v>0</v>
      </c>
      <c r="G29" s="8" t="n">
        <v>0</v>
      </c>
      <c r="H29" s="8"/>
    </row>
    <row r="30" customFormat="false" ht="15" hidden="false" customHeight="true" outlineLevel="0" collapsed="false">
      <c r="A30" s="7" t="n">
        <v>27</v>
      </c>
      <c r="B30" s="7" t="s">
        <v>70</v>
      </c>
      <c r="C30" s="7" t="n">
        <v>1</v>
      </c>
      <c r="D30" s="7" t="n">
        <v>0.06</v>
      </c>
      <c r="E30" s="7" t="n">
        <v>0.025</v>
      </c>
      <c r="F30" s="7" t="n">
        <v>0</v>
      </c>
      <c r="G30" s="7" t="n">
        <v>0</v>
      </c>
      <c r="H30" s="7"/>
    </row>
    <row r="31" customFormat="false" ht="15" hidden="false" customHeight="true" outlineLevel="0" collapsed="false">
      <c r="A31" s="8" t="n">
        <v>28</v>
      </c>
      <c r="B31" s="8" t="s">
        <v>70</v>
      </c>
      <c r="C31" s="8" t="n">
        <v>1</v>
      </c>
      <c r="D31" s="8" t="n">
        <v>0.06</v>
      </c>
      <c r="E31" s="8" t="n">
        <v>0.02</v>
      </c>
      <c r="F31" s="8" t="n">
        <v>0</v>
      </c>
      <c r="G31" s="8" t="n">
        <v>0</v>
      </c>
      <c r="H31" s="8"/>
    </row>
    <row r="32" customFormat="false" ht="15" hidden="false" customHeight="true" outlineLevel="0" collapsed="false">
      <c r="A32" s="7" t="n">
        <v>29</v>
      </c>
      <c r="B32" s="7" t="s">
        <v>70</v>
      </c>
      <c r="C32" s="7" t="n">
        <v>1</v>
      </c>
      <c r="D32" s="7" t="n">
        <v>0.12</v>
      </c>
      <c r="E32" s="7" t="n">
        <v>0.07</v>
      </c>
      <c r="F32" s="7" t="n">
        <v>0</v>
      </c>
      <c r="G32" s="7" t="n">
        <v>0</v>
      </c>
      <c r="H32" s="7"/>
    </row>
    <row r="33" customFormat="false" ht="15" hidden="false" customHeight="true" outlineLevel="0" collapsed="false">
      <c r="A33" s="8" t="n">
        <v>30</v>
      </c>
      <c r="B33" s="8" t="s">
        <v>70</v>
      </c>
      <c r="C33" s="8" t="n">
        <v>1</v>
      </c>
      <c r="D33" s="8" t="n">
        <v>0.2</v>
      </c>
      <c r="E33" s="8" t="n">
        <v>0.6</v>
      </c>
      <c r="F33" s="8" t="n">
        <v>0</v>
      </c>
      <c r="G33" s="8" t="n">
        <v>0</v>
      </c>
      <c r="H33" s="8" t="s">
        <v>71</v>
      </c>
    </row>
    <row r="34" customFormat="false" ht="15" hidden="false" customHeight="true" outlineLevel="0" collapsed="false">
      <c r="A34" s="7" t="n">
        <v>31</v>
      </c>
      <c r="B34" s="7" t="s">
        <v>70</v>
      </c>
      <c r="C34" s="7" t="n">
        <v>1</v>
      </c>
      <c r="D34" s="7" t="n">
        <v>0.15</v>
      </c>
      <c r="E34" s="7" t="n">
        <v>0.07</v>
      </c>
      <c r="F34" s="7" t="n">
        <v>0</v>
      </c>
      <c r="G34" s="7" t="n">
        <v>0</v>
      </c>
      <c r="H34" s="7"/>
    </row>
    <row r="35" customFormat="false" ht="15" hidden="false" customHeight="true" outlineLevel="0" collapsed="false">
      <c r="A35" s="8" t="n">
        <v>32</v>
      </c>
      <c r="B35" s="8" t="s">
        <v>70</v>
      </c>
      <c r="C35" s="8" t="n">
        <v>1</v>
      </c>
      <c r="D35" s="8" t="n">
        <v>0.21</v>
      </c>
      <c r="E35" s="8" t="n">
        <v>0.1</v>
      </c>
      <c r="F35" s="8" t="n">
        <v>0</v>
      </c>
      <c r="G35" s="8" t="n">
        <v>0</v>
      </c>
      <c r="H35" s="8"/>
    </row>
    <row r="36" customFormat="false" ht="15" hidden="false" customHeight="true" outlineLevel="0" collapsed="false">
      <c r="A36" s="7" t="n">
        <v>33</v>
      </c>
      <c r="B36" s="7" t="s">
        <v>70</v>
      </c>
      <c r="C36" s="7" t="n">
        <v>1</v>
      </c>
      <c r="D36" s="7" t="n">
        <v>0.06</v>
      </c>
      <c r="E36" s="7" t="n">
        <v>0.04</v>
      </c>
      <c r="F36" s="7" t="n">
        <v>0</v>
      </c>
      <c r="G36" s="7" t="n">
        <v>0</v>
      </c>
      <c r="H36" s="7"/>
    </row>
    <row r="37" customFormat="false" ht="15" hidden="false" customHeight="true" outlineLevel="0" collapsed="false">
      <c r="A37" s="9" t="s">
        <v>72</v>
      </c>
      <c r="B37" s="9"/>
      <c r="C37" s="9"/>
      <c r="D37" s="10" t="n">
        <v>3.715</v>
      </c>
      <c r="E37" s="10" t="n">
        <v>2.3</v>
      </c>
    </row>
  </sheetData>
  <mergeCells count="3">
    <mergeCell ref="A1:H1"/>
    <mergeCell ref="A2:H2"/>
    <mergeCell ref="A37:C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0"/>
    <col collapsed="false" customWidth="true" hidden="false" outlineLevel="0" max="7" min="4" style="1" width="11"/>
    <col collapsed="false" customWidth="true" hidden="false" outlineLevel="0" max="8" min="8" style="1" width="9"/>
    <col collapsed="false" customWidth="true" hidden="false" outlineLevel="0" max="9" min="9" style="1" width="12"/>
    <col collapsed="false" customWidth="true" hidden="false" outlineLevel="0" max="10" min="10" style="1" width="8"/>
    <col collapsed="false" customWidth="true" hidden="false" outlineLevel="0" max="11" min="11" style="1" width="25"/>
  </cols>
  <sheetData>
    <row r="1" customFormat="false" ht="30" hidden="false" customHeight="true" outlineLevel="0" collapsed="false">
      <c r="A1" s="2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3" t="s">
        <v>74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true" outlineLevel="0" collapsed="false">
      <c r="A3" s="4" t="s">
        <v>75</v>
      </c>
      <c r="B3" s="4" t="s">
        <v>76</v>
      </c>
      <c r="C3" s="4" t="s">
        <v>70</v>
      </c>
      <c r="D3" s="4" t="s">
        <v>70</v>
      </c>
      <c r="E3" s="4" t="s">
        <v>77</v>
      </c>
      <c r="F3" s="4" t="s">
        <v>78</v>
      </c>
      <c r="G3" s="4" t="s">
        <v>79</v>
      </c>
      <c r="H3" s="4" t="s">
        <v>80</v>
      </c>
      <c r="I3" s="4" t="s">
        <v>81</v>
      </c>
      <c r="J3" s="4" t="s">
        <v>64</v>
      </c>
      <c r="K3" s="4" t="s">
        <v>10</v>
      </c>
    </row>
    <row r="4" customFormat="false" ht="15" hidden="false" customHeight="true" outlineLevel="0" collapsed="false">
      <c r="C4" s="5" t="s">
        <v>70</v>
      </c>
      <c r="D4" s="1" t="s">
        <v>70</v>
      </c>
      <c r="H4" s="5" t="n">
        <f aca="false">0</f>
        <v>0</v>
      </c>
      <c r="I4" s="5" t="s">
        <v>82</v>
      </c>
      <c r="J4" s="5" t="s">
        <v>83</v>
      </c>
    </row>
    <row r="5" customFormat="false" ht="15" hidden="false" customHeight="true" outlineLevel="0" collapsed="false">
      <c r="A5" s="8" t="n">
        <v>1</v>
      </c>
      <c r="B5" s="8" t="n">
        <v>2</v>
      </c>
      <c r="C5" s="8" t="s">
        <v>70</v>
      </c>
      <c r="D5" s="8" t="s">
        <v>70</v>
      </c>
      <c r="E5" s="8" t="n">
        <v>0.047</v>
      </c>
      <c r="F5" s="8" t="n">
        <v>0.057526</v>
      </c>
      <c r="G5" s="8" t="n">
        <v>0.029324</v>
      </c>
      <c r="H5" s="8" t="n">
        <v>0</v>
      </c>
      <c r="I5" s="8" t="n">
        <v>250</v>
      </c>
      <c r="J5" s="8" t="n">
        <v>1</v>
      </c>
      <c r="K5" s="8" t="s">
        <v>84</v>
      </c>
    </row>
    <row r="6" customFormat="false" ht="15" hidden="false" customHeight="true" outlineLevel="0" collapsed="false">
      <c r="A6" s="7" t="n">
        <v>2</v>
      </c>
      <c r="B6" s="7" t="n">
        <v>3</v>
      </c>
      <c r="C6" s="7" t="s">
        <v>70</v>
      </c>
      <c r="D6" s="7" t="s">
        <v>70</v>
      </c>
      <c r="E6" s="7" t="n">
        <v>0.2511</v>
      </c>
      <c r="F6" s="7" t="n">
        <v>0.307595</v>
      </c>
      <c r="G6" s="7" t="n">
        <v>0.156668</v>
      </c>
      <c r="H6" s="7" t="n">
        <v>0</v>
      </c>
      <c r="I6" s="7" t="n">
        <v>250</v>
      </c>
      <c r="J6" s="7" t="n">
        <v>1</v>
      </c>
      <c r="K6" s="7"/>
    </row>
    <row r="7" customFormat="false" ht="15" hidden="false" customHeight="true" outlineLevel="0" collapsed="false">
      <c r="A7" s="8" t="n">
        <v>3</v>
      </c>
      <c r="B7" s="8" t="n">
        <v>4</v>
      </c>
      <c r="C7" s="8" t="s">
        <v>70</v>
      </c>
      <c r="D7" s="8" t="s">
        <v>70</v>
      </c>
      <c r="E7" s="8" t="n">
        <v>0.1864</v>
      </c>
      <c r="F7" s="8" t="n">
        <v>0.228357</v>
      </c>
      <c r="G7" s="8" t="n">
        <v>0.1163</v>
      </c>
      <c r="H7" s="8" t="n">
        <v>0</v>
      </c>
      <c r="I7" s="8" t="n">
        <v>250</v>
      </c>
      <c r="J7" s="8" t="n">
        <v>1</v>
      </c>
      <c r="K7" s="8"/>
    </row>
    <row r="8" customFormat="false" ht="15" hidden="false" customHeight="true" outlineLevel="0" collapsed="false">
      <c r="A8" s="7" t="n">
        <v>4</v>
      </c>
      <c r="B8" s="7" t="n">
        <v>5</v>
      </c>
      <c r="C8" s="7" t="s">
        <v>70</v>
      </c>
      <c r="D8" s="7" t="s">
        <v>70</v>
      </c>
      <c r="E8" s="7" t="n">
        <v>0.1941</v>
      </c>
      <c r="F8" s="7" t="n">
        <v>0.237778</v>
      </c>
      <c r="G8" s="7" t="n">
        <v>0.121104</v>
      </c>
      <c r="H8" s="7" t="n">
        <v>0</v>
      </c>
      <c r="I8" s="7" t="n">
        <v>250</v>
      </c>
      <c r="J8" s="7" t="n">
        <v>1</v>
      </c>
      <c r="K8" s="7"/>
    </row>
    <row r="9" customFormat="false" ht="15" hidden="false" customHeight="true" outlineLevel="0" collapsed="false">
      <c r="A9" s="8" t="n">
        <v>5</v>
      </c>
      <c r="B9" s="8" t="n">
        <v>6</v>
      </c>
      <c r="C9" s="8" t="s">
        <v>70</v>
      </c>
      <c r="D9" s="8" t="s">
        <v>70</v>
      </c>
      <c r="E9" s="8" t="n">
        <v>0.707</v>
      </c>
      <c r="F9" s="8" t="n">
        <v>0.510995</v>
      </c>
      <c r="G9" s="8" t="n">
        <v>0.441115</v>
      </c>
      <c r="H9" s="8" t="n">
        <v>0</v>
      </c>
      <c r="I9" s="8" t="n">
        <v>250</v>
      </c>
      <c r="J9" s="8" t="n">
        <v>1</v>
      </c>
      <c r="K9" s="8"/>
    </row>
    <row r="10" customFormat="false" ht="15" hidden="false" customHeight="true" outlineLevel="0" collapsed="false">
      <c r="A10" s="7" t="n">
        <v>6</v>
      </c>
      <c r="B10" s="7" t="n">
        <v>7</v>
      </c>
      <c r="C10" s="7" t="s">
        <v>70</v>
      </c>
      <c r="D10" s="7" t="s">
        <v>70</v>
      </c>
      <c r="E10" s="7" t="n">
        <v>0.6188</v>
      </c>
      <c r="F10" s="7" t="n">
        <v>0.116799</v>
      </c>
      <c r="G10" s="7" t="n">
        <v>0.386085</v>
      </c>
      <c r="H10" s="7" t="n">
        <v>0</v>
      </c>
      <c r="I10" s="7" t="n">
        <v>250</v>
      </c>
      <c r="J10" s="7" t="n">
        <v>1</v>
      </c>
      <c r="K10" s="7"/>
    </row>
    <row r="11" customFormat="false" ht="15" hidden="false" customHeight="true" outlineLevel="0" collapsed="false">
      <c r="A11" s="8" t="n">
        <v>7</v>
      </c>
      <c r="B11" s="8" t="n">
        <v>8</v>
      </c>
      <c r="C11" s="8" t="s">
        <v>70</v>
      </c>
      <c r="D11" s="8" t="s">
        <v>70</v>
      </c>
      <c r="E11" s="8" t="n">
        <v>0.2351</v>
      </c>
      <c r="F11" s="8" t="n">
        <v>0.44386</v>
      </c>
      <c r="G11" s="8" t="n">
        <v>0.146685</v>
      </c>
      <c r="H11" s="8" t="n">
        <v>0</v>
      </c>
      <c r="I11" s="8" t="n">
        <v>250</v>
      </c>
      <c r="J11" s="8" t="n">
        <v>1</v>
      </c>
      <c r="K11" s="8"/>
    </row>
    <row r="12" customFormat="false" ht="15" hidden="false" customHeight="true" outlineLevel="0" collapsed="false">
      <c r="A12" s="7" t="n">
        <v>8</v>
      </c>
      <c r="B12" s="7" t="n">
        <v>9</v>
      </c>
      <c r="C12" s="7" t="s">
        <v>70</v>
      </c>
      <c r="D12" s="7" t="s">
        <v>70</v>
      </c>
      <c r="E12" s="7" t="n">
        <v>0.74</v>
      </c>
      <c r="F12" s="7" t="n">
        <v>0.642643</v>
      </c>
      <c r="G12" s="7" t="n">
        <v>0.461705</v>
      </c>
      <c r="H12" s="7" t="n">
        <v>0</v>
      </c>
      <c r="I12" s="7" t="n">
        <v>250</v>
      </c>
      <c r="J12" s="7" t="n">
        <v>1</v>
      </c>
      <c r="K12" s="7" t="s">
        <v>85</v>
      </c>
    </row>
    <row r="13" customFormat="false" ht="15" hidden="false" customHeight="true" outlineLevel="0" collapsed="false">
      <c r="A13" s="8" t="n">
        <v>9</v>
      </c>
      <c r="B13" s="8" t="n">
        <v>10</v>
      </c>
      <c r="C13" s="8" t="s">
        <v>70</v>
      </c>
      <c r="D13" s="8" t="s">
        <v>70</v>
      </c>
      <c r="E13" s="8" t="n">
        <v>0.74</v>
      </c>
      <c r="F13" s="8" t="n">
        <v>0.651378</v>
      </c>
      <c r="G13" s="8" t="n">
        <v>0.461705</v>
      </c>
      <c r="H13" s="8" t="n">
        <v>0</v>
      </c>
      <c r="I13" s="8" t="n">
        <v>250</v>
      </c>
      <c r="J13" s="8" t="n">
        <v>1</v>
      </c>
      <c r="K13" s="8" t="s">
        <v>85</v>
      </c>
    </row>
    <row r="14" customFormat="false" ht="15" hidden="false" customHeight="true" outlineLevel="0" collapsed="false">
      <c r="A14" s="7" t="n">
        <v>10</v>
      </c>
      <c r="B14" s="7" t="n">
        <v>11</v>
      </c>
      <c r="C14" s="7" t="s">
        <v>70</v>
      </c>
      <c r="D14" s="7" t="s">
        <v>70</v>
      </c>
      <c r="E14" s="7" t="n">
        <v>0.065</v>
      </c>
      <c r="F14" s="7" t="n">
        <v>0.122664</v>
      </c>
      <c r="G14" s="7" t="n">
        <v>0.040555</v>
      </c>
      <c r="H14" s="7" t="n">
        <v>0</v>
      </c>
      <c r="I14" s="7" t="n">
        <v>250</v>
      </c>
      <c r="J14" s="7" t="n">
        <v>1</v>
      </c>
      <c r="K14" s="7"/>
    </row>
    <row r="15" customFormat="false" ht="15" hidden="false" customHeight="true" outlineLevel="0" collapsed="false">
      <c r="A15" s="8" t="n">
        <v>11</v>
      </c>
      <c r="B15" s="8" t="n">
        <v>12</v>
      </c>
      <c r="C15" s="8" t="s">
        <v>70</v>
      </c>
      <c r="D15" s="8" t="s">
        <v>70</v>
      </c>
      <c r="E15" s="8" t="n">
        <v>0.1238</v>
      </c>
      <c r="F15" s="8" t="n">
        <v>0.233598</v>
      </c>
      <c r="G15" s="8" t="n">
        <v>0.077242</v>
      </c>
      <c r="H15" s="8" t="n">
        <v>0</v>
      </c>
      <c r="I15" s="8" t="n">
        <v>250</v>
      </c>
      <c r="J15" s="8" t="n">
        <v>1</v>
      </c>
      <c r="K15" s="8"/>
    </row>
    <row r="16" customFormat="false" ht="15" hidden="false" customHeight="true" outlineLevel="0" collapsed="false">
      <c r="A16" s="7" t="n">
        <v>12</v>
      </c>
      <c r="B16" s="7" t="n">
        <v>13</v>
      </c>
      <c r="C16" s="7" t="s">
        <v>70</v>
      </c>
      <c r="D16" s="7" t="s">
        <v>70</v>
      </c>
      <c r="E16" s="7" t="n">
        <v>1.155</v>
      </c>
      <c r="F16" s="7" t="n">
        <v>0.915922</v>
      </c>
      <c r="G16" s="7" t="n">
        <v>0.720634</v>
      </c>
      <c r="H16" s="7" t="n">
        <v>0</v>
      </c>
      <c r="I16" s="7" t="n">
        <v>250</v>
      </c>
      <c r="J16" s="7" t="n">
        <v>1</v>
      </c>
      <c r="K16" s="7" t="s">
        <v>86</v>
      </c>
    </row>
    <row r="17" customFormat="false" ht="15" hidden="false" customHeight="true" outlineLevel="0" collapsed="false">
      <c r="A17" s="8" t="n">
        <v>13</v>
      </c>
      <c r="B17" s="8" t="n">
        <v>14</v>
      </c>
      <c r="C17" s="8" t="s">
        <v>70</v>
      </c>
      <c r="D17" s="8" t="s">
        <v>70</v>
      </c>
      <c r="E17" s="8" t="n">
        <v>0.7129</v>
      </c>
      <c r="F17" s="8" t="n">
        <v>0.337918</v>
      </c>
      <c r="G17" s="8" t="n">
        <v>0.444796</v>
      </c>
      <c r="H17" s="8" t="n">
        <v>0</v>
      </c>
      <c r="I17" s="8" t="n">
        <v>250</v>
      </c>
      <c r="J17" s="8" t="n">
        <v>1</v>
      </c>
      <c r="K17" s="8"/>
    </row>
    <row r="18" customFormat="false" ht="15" hidden="false" customHeight="true" outlineLevel="0" collapsed="false">
      <c r="A18" s="7" t="n">
        <v>14</v>
      </c>
      <c r="B18" s="7" t="n">
        <v>15</v>
      </c>
      <c r="C18" s="7" t="s">
        <v>70</v>
      </c>
      <c r="D18" s="7" t="s">
        <v>70</v>
      </c>
      <c r="E18" s="7" t="n">
        <v>0.526</v>
      </c>
      <c r="F18" s="7" t="n">
        <v>0.36874</v>
      </c>
      <c r="G18" s="7" t="n">
        <v>0.328185</v>
      </c>
      <c r="H18" s="7" t="n">
        <v>0</v>
      </c>
      <c r="I18" s="7" t="n">
        <v>250</v>
      </c>
      <c r="J18" s="7" t="n">
        <v>1</v>
      </c>
      <c r="K18" s="7"/>
    </row>
    <row r="19" customFormat="false" ht="15" hidden="false" customHeight="true" outlineLevel="0" collapsed="false">
      <c r="A19" s="8" t="n">
        <v>15</v>
      </c>
      <c r="B19" s="8" t="n">
        <v>16</v>
      </c>
      <c r="C19" s="8" t="s">
        <v>70</v>
      </c>
      <c r="D19" s="8" t="s">
        <v>70</v>
      </c>
      <c r="E19" s="8" t="n">
        <v>0.545</v>
      </c>
      <c r="F19" s="8" t="n">
        <v>0.465635</v>
      </c>
      <c r="G19" s="8" t="n">
        <v>0.340039</v>
      </c>
      <c r="H19" s="8" t="n">
        <v>0</v>
      </c>
      <c r="I19" s="8" t="n">
        <v>250</v>
      </c>
      <c r="J19" s="8" t="n">
        <v>1</v>
      </c>
      <c r="K19" s="8"/>
    </row>
    <row r="20" customFormat="false" ht="15" hidden="false" customHeight="true" outlineLevel="0" collapsed="false">
      <c r="A20" s="7" t="n">
        <v>16</v>
      </c>
      <c r="B20" s="7" t="n">
        <v>17</v>
      </c>
      <c r="C20" s="7" t="s">
        <v>70</v>
      </c>
      <c r="D20" s="7" t="s">
        <v>70</v>
      </c>
      <c r="E20" s="7" t="n">
        <v>1.721</v>
      </c>
      <c r="F20" s="7" t="n">
        <v>0.80424</v>
      </c>
      <c r="G20" s="7" t="n">
        <v>1.073775</v>
      </c>
      <c r="H20" s="7" t="n">
        <v>0</v>
      </c>
      <c r="I20" s="7" t="n">
        <v>250</v>
      </c>
      <c r="J20" s="7" t="n">
        <v>1</v>
      </c>
      <c r="K20" s="7" t="s">
        <v>87</v>
      </c>
    </row>
    <row r="21" customFormat="false" ht="15" hidden="false" customHeight="true" outlineLevel="0" collapsed="false">
      <c r="A21" s="8" t="n">
        <v>17</v>
      </c>
      <c r="B21" s="8" t="n">
        <v>18</v>
      </c>
      <c r="C21" s="8" t="s">
        <v>70</v>
      </c>
      <c r="D21" s="8" t="s">
        <v>70</v>
      </c>
      <c r="E21" s="8" t="n">
        <v>0.574</v>
      </c>
      <c r="F21" s="8" t="n">
        <v>0.456713</v>
      </c>
      <c r="G21" s="8" t="n">
        <v>0.358133</v>
      </c>
      <c r="H21" s="8" t="n">
        <v>0</v>
      </c>
      <c r="I21" s="8" t="n">
        <v>250</v>
      </c>
      <c r="J21" s="8" t="n">
        <v>1</v>
      </c>
      <c r="K21" s="8" t="s">
        <v>35</v>
      </c>
    </row>
    <row r="22" customFormat="false" ht="15" hidden="false" customHeight="true" outlineLevel="0" collapsed="false">
      <c r="A22" s="7" t="n">
        <v>2</v>
      </c>
      <c r="B22" s="7" t="n">
        <v>19</v>
      </c>
      <c r="C22" s="7" t="s">
        <v>70</v>
      </c>
      <c r="D22" s="7" t="s">
        <v>70</v>
      </c>
      <c r="E22" s="7" t="n">
        <v>0.1565</v>
      </c>
      <c r="F22" s="7" t="n">
        <v>0.102324</v>
      </c>
      <c r="G22" s="7" t="n">
        <v>0.097644</v>
      </c>
      <c r="H22" s="7" t="n">
        <v>0</v>
      </c>
      <c r="I22" s="7" t="n">
        <v>250</v>
      </c>
      <c r="J22" s="7" t="n">
        <v>1</v>
      </c>
      <c r="K22" s="7" t="s">
        <v>88</v>
      </c>
    </row>
    <row r="23" customFormat="false" ht="15" hidden="false" customHeight="true" outlineLevel="0" collapsed="false">
      <c r="A23" s="8" t="n">
        <v>19</v>
      </c>
      <c r="B23" s="8" t="n">
        <v>20</v>
      </c>
      <c r="C23" s="8" t="s">
        <v>70</v>
      </c>
      <c r="D23" s="8" t="s">
        <v>70</v>
      </c>
      <c r="E23" s="8" t="n">
        <v>1.3554</v>
      </c>
      <c r="F23" s="8" t="n">
        <v>0.938508</v>
      </c>
      <c r="G23" s="8" t="n">
        <v>0.845668</v>
      </c>
      <c r="H23" s="8" t="n">
        <v>0</v>
      </c>
      <c r="I23" s="8" t="n">
        <v>250</v>
      </c>
      <c r="J23" s="8" t="n">
        <v>1</v>
      </c>
      <c r="K23" s="8" t="s">
        <v>89</v>
      </c>
    </row>
    <row r="24" customFormat="false" ht="15" hidden="false" customHeight="true" outlineLevel="0" collapsed="false">
      <c r="A24" s="7" t="n">
        <v>20</v>
      </c>
      <c r="B24" s="7" t="n">
        <v>21</v>
      </c>
      <c r="C24" s="7" t="s">
        <v>70</v>
      </c>
      <c r="D24" s="7" t="s">
        <v>70</v>
      </c>
      <c r="E24" s="7" t="n">
        <v>0.4784</v>
      </c>
      <c r="F24" s="7" t="n">
        <v>0.255497</v>
      </c>
      <c r="G24" s="7" t="n">
        <v>0.298486</v>
      </c>
      <c r="H24" s="7" t="n">
        <v>0</v>
      </c>
      <c r="I24" s="7" t="n">
        <v>250</v>
      </c>
      <c r="J24" s="7" t="n">
        <v>1</v>
      </c>
      <c r="K24" s="7"/>
    </row>
    <row r="25" customFormat="false" ht="15" hidden="false" customHeight="true" outlineLevel="0" collapsed="false">
      <c r="A25" s="8" t="n">
        <v>21</v>
      </c>
      <c r="B25" s="8" t="n">
        <v>22</v>
      </c>
      <c r="C25" s="8" t="s">
        <v>70</v>
      </c>
      <c r="D25" s="8" t="s">
        <v>70</v>
      </c>
      <c r="E25" s="8" t="n">
        <v>0.9373</v>
      </c>
      <c r="F25" s="8" t="n">
        <v>0.442301</v>
      </c>
      <c r="G25" s="8" t="n">
        <v>0.584805</v>
      </c>
      <c r="H25" s="8" t="n">
        <v>0</v>
      </c>
      <c r="I25" s="8" t="n">
        <v>250</v>
      </c>
      <c r="J25" s="8" t="n">
        <v>1</v>
      </c>
      <c r="K25" s="8" t="s">
        <v>41</v>
      </c>
    </row>
    <row r="26" customFormat="false" ht="15" hidden="false" customHeight="true" outlineLevel="0" collapsed="false">
      <c r="A26" s="7" t="n">
        <v>3</v>
      </c>
      <c r="B26" s="7" t="n">
        <v>23</v>
      </c>
      <c r="C26" s="7" t="s">
        <v>70</v>
      </c>
      <c r="D26" s="7" t="s">
        <v>70</v>
      </c>
      <c r="E26" s="7" t="n">
        <v>0.3083</v>
      </c>
      <c r="F26" s="7" t="n">
        <v>0.281515</v>
      </c>
      <c r="G26" s="7" t="n">
        <v>0.192356</v>
      </c>
      <c r="H26" s="7" t="n">
        <v>0</v>
      </c>
      <c r="I26" s="7" t="n">
        <v>250</v>
      </c>
      <c r="J26" s="7" t="n">
        <v>1</v>
      </c>
      <c r="K26" s="7" t="s">
        <v>90</v>
      </c>
    </row>
    <row r="27" customFormat="false" ht="15" hidden="false" customHeight="true" outlineLevel="0" collapsed="false">
      <c r="A27" s="8" t="n">
        <v>23</v>
      </c>
      <c r="B27" s="8" t="n">
        <v>24</v>
      </c>
      <c r="C27" s="8" t="s">
        <v>70</v>
      </c>
      <c r="D27" s="8" t="s">
        <v>70</v>
      </c>
      <c r="E27" s="8" t="n">
        <v>0.7091</v>
      </c>
      <c r="F27" s="8" t="n">
        <v>0.560285</v>
      </c>
      <c r="G27" s="8" t="n">
        <v>0.442425</v>
      </c>
      <c r="H27" s="8" t="n">
        <v>0</v>
      </c>
      <c r="I27" s="8" t="n">
        <v>250</v>
      </c>
      <c r="J27" s="8" t="n">
        <v>1</v>
      </c>
      <c r="K27" s="8"/>
    </row>
    <row r="28" customFormat="false" ht="15" hidden="false" customHeight="true" outlineLevel="0" collapsed="false">
      <c r="A28" s="7" t="n">
        <v>24</v>
      </c>
      <c r="B28" s="7" t="n">
        <v>25</v>
      </c>
      <c r="C28" s="7" t="s">
        <v>70</v>
      </c>
      <c r="D28" s="7" t="s">
        <v>70</v>
      </c>
      <c r="E28" s="7" t="n">
        <v>0.7011</v>
      </c>
      <c r="F28" s="7" t="n">
        <v>0.559037</v>
      </c>
      <c r="G28" s="7" t="n">
        <v>0.437434</v>
      </c>
      <c r="H28" s="7" t="n">
        <v>0</v>
      </c>
      <c r="I28" s="7" t="n">
        <v>250</v>
      </c>
      <c r="J28" s="7" t="n">
        <v>1</v>
      </c>
      <c r="K28" s="7" t="s">
        <v>91</v>
      </c>
    </row>
    <row r="29" customFormat="false" ht="15" hidden="false" customHeight="true" outlineLevel="0" collapsed="false">
      <c r="A29" s="8" t="n">
        <v>6</v>
      </c>
      <c r="B29" s="8" t="n">
        <v>26</v>
      </c>
      <c r="C29" s="8" t="s">
        <v>70</v>
      </c>
      <c r="D29" s="8" t="s">
        <v>70</v>
      </c>
      <c r="E29" s="8" t="n">
        <v>0.1034</v>
      </c>
      <c r="F29" s="8" t="n">
        <v>0.126657</v>
      </c>
      <c r="G29" s="8" t="n">
        <v>0.064514</v>
      </c>
      <c r="H29" s="8" t="n">
        <v>0</v>
      </c>
      <c r="I29" s="8" t="n">
        <v>250</v>
      </c>
      <c r="J29" s="8" t="n">
        <v>1</v>
      </c>
      <c r="K29" s="8" t="s">
        <v>92</v>
      </c>
    </row>
    <row r="30" customFormat="false" ht="15" hidden="false" customHeight="true" outlineLevel="0" collapsed="false">
      <c r="A30" s="7" t="n">
        <v>26</v>
      </c>
      <c r="B30" s="7" t="n">
        <v>27</v>
      </c>
      <c r="C30" s="7" t="s">
        <v>70</v>
      </c>
      <c r="D30" s="7" t="s">
        <v>70</v>
      </c>
      <c r="E30" s="7" t="n">
        <v>0.1447</v>
      </c>
      <c r="F30" s="7" t="n">
        <v>0.17732</v>
      </c>
      <c r="G30" s="7" t="n">
        <v>0.090282</v>
      </c>
      <c r="H30" s="7" t="n">
        <v>0</v>
      </c>
      <c r="I30" s="7" t="n">
        <v>250</v>
      </c>
      <c r="J30" s="7" t="n">
        <v>1</v>
      </c>
      <c r="K30" s="7"/>
    </row>
    <row r="31" customFormat="false" ht="15" hidden="false" customHeight="true" outlineLevel="0" collapsed="false">
      <c r="A31" s="8" t="n">
        <v>27</v>
      </c>
      <c r="B31" s="8" t="n">
        <v>28</v>
      </c>
      <c r="C31" s="8" t="s">
        <v>70</v>
      </c>
      <c r="D31" s="8" t="s">
        <v>70</v>
      </c>
      <c r="E31" s="8" t="n">
        <v>0.9337</v>
      </c>
      <c r="F31" s="8" t="n">
        <v>0.660737</v>
      </c>
      <c r="G31" s="8" t="n">
        <v>0.582559</v>
      </c>
      <c r="H31" s="8" t="n">
        <v>0</v>
      </c>
      <c r="I31" s="8" t="n">
        <v>250</v>
      </c>
      <c r="J31" s="8" t="n">
        <v>1</v>
      </c>
      <c r="K31" s="8"/>
    </row>
    <row r="32" customFormat="false" ht="15" hidden="false" customHeight="true" outlineLevel="0" collapsed="false">
      <c r="A32" s="7" t="n">
        <v>28</v>
      </c>
      <c r="B32" s="7" t="n">
        <v>29</v>
      </c>
      <c r="C32" s="7" t="s">
        <v>70</v>
      </c>
      <c r="D32" s="7" t="s">
        <v>70</v>
      </c>
      <c r="E32" s="7" t="n">
        <v>0.7006</v>
      </c>
      <c r="F32" s="7" t="n">
        <v>0.501761</v>
      </c>
      <c r="G32" s="7" t="n">
        <v>0.437122</v>
      </c>
      <c r="H32" s="7" t="n">
        <v>0</v>
      </c>
      <c r="I32" s="7" t="n">
        <v>250</v>
      </c>
      <c r="J32" s="7" t="n">
        <v>1</v>
      </c>
      <c r="K32" s="7"/>
    </row>
    <row r="33" customFormat="false" ht="15" hidden="false" customHeight="true" outlineLevel="0" collapsed="false">
      <c r="A33" s="8" t="n">
        <v>29</v>
      </c>
      <c r="B33" s="8" t="n">
        <v>30</v>
      </c>
      <c r="C33" s="8" t="s">
        <v>70</v>
      </c>
      <c r="D33" s="8" t="s">
        <v>70</v>
      </c>
      <c r="E33" s="8" t="n">
        <v>0.2585</v>
      </c>
      <c r="F33" s="8" t="n">
        <v>0.316642</v>
      </c>
      <c r="G33" s="8" t="n">
        <v>0.161285</v>
      </c>
      <c r="H33" s="8" t="n">
        <v>0</v>
      </c>
      <c r="I33" s="8" t="n">
        <v>250</v>
      </c>
      <c r="J33" s="8" t="n">
        <v>1</v>
      </c>
      <c r="K33" s="8"/>
    </row>
    <row r="34" customFormat="false" ht="15" hidden="false" customHeight="true" outlineLevel="0" collapsed="false">
      <c r="A34" s="7" t="n">
        <v>30</v>
      </c>
      <c r="B34" s="7" t="n">
        <v>31</v>
      </c>
      <c r="C34" s="7" t="s">
        <v>70</v>
      </c>
      <c r="D34" s="7" t="s">
        <v>70</v>
      </c>
      <c r="E34" s="7" t="n">
        <v>0.963</v>
      </c>
      <c r="F34" s="7" t="n">
        <v>0.607953</v>
      </c>
      <c r="G34" s="7" t="n">
        <v>0.60084</v>
      </c>
      <c r="H34" s="7" t="n">
        <v>0</v>
      </c>
      <c r="I34" s="7" t="n">
        <v>250</v>
      </c>
      <c r="J34" s="7" t="n">
        <v>1</v>
      </c>
      <c r="K34" s="7"/>
    </row>
    <row r="35" customFormat="false" ht="15" hidden="false" customHeight="true" outlineLevel="0" collapsed="false">
      <c r="A35" s="8" t="n">
        <v>31</v>
      </c>
      <c r="B35" s="8" t="n">
        <v>32</v>
      </c>
      <c r="C35" s="8" t="s">
        <v>70</v>
      </c>
      <c r="D35" s="8" t="n">
        <v>0.3105</v>
      </c>
      <c r="E35" s="8" t="n">
        <v>0.3619</v>
      </c>
      <c r="F35" s="8" t="n">
        <v>0.193729</v>
      </c>
      <c r="G35" s="8" t="n">
        <v>0.225799</v>
      </c>
      <c r="H35" s="8" t="n">
        <v>0</v>
      </c>
      <c r="I35" s="8" t="n">
        <v>250</v>
      </c>
      <c r="J35" s="8" t="n">
        <v>1</v>
      </c>
      <c r="K35" s="8"/>
    </row>
    <row r="36" customFormat="false" ht="15" hidden="false" customHeight="true" outlineLevel="0" collapsed="false">
      <c r="A36" s="7" t="n">
        <v>32</v>
      </c>
      <c r="B36" s="7" t="n">
        <v>33</v>
      </c>
      <c r="C36" s="7" t="s">
        <v>70</v>
      </c>
      <c r="D36" s="7" t="n">
        <v>0.341</v>
      </c>
      <c r="E36" s="7" t="n">
        <v>0.5302</v>
      </c>
      <c r="F36" s="7" t="n">
        <v>0.212759</v>
      </c>
      <c r="G36" s="7" t="n">
        <v>0.330805</v>
      </c>
      <c r="H36" s="7" t="n">
        <v>0</v>
      </c>
      <c r="I36" s="7" t="n">
        <v>250</v>
      </c>
      <c r="J36" s="7" t="n">
        <v>1</v>
      </c>
      <c r="K36" s="7" t="s">
        <v>60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9"/>
    <col collapsed="false" customWidth="true" hidden="false" outlineLevel="0" max="3" min="3" style="1" width="11"/>
    <col collapsed="false" customWidth="true" hidden="false" outlineLevel="0" max="4" min="4" style="1" width="13"/>
    <col collapsed="false" customWidth="true" hidden="false" outlineLevel="0" max="6" min="5" style="1" width="14"/>
    <col collapsed="false" customWidth="true" hidden="false" outlineLevel="0" max="7" min="7" style="1" width="10"/>
    <col collapsed="false" customWidth="true" hidden="false" outlineLevel="0" max="8" min="8" style="1" width="8"/>
  </cols>
  <sheetData>
    <row r="1" customFormat="false" ht="30" hidden="false" customHeight="true" outlineLevel="0" collapsed="false">
      <c r="A1" s="2" t="s">
        <v>93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94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2</v>
      </c>
      <c r="B3" s="4" t="s">
        <v>95</v>
      </c>
      <c r="C3" s="4" t="s">
        <v>96</v>
      </c>
      <c r="D3" s="4" t="s">
        <v>97</v>
      </c>
      <c r="E3" s="4" t="s">
        <v>98</v>
      </c>
      <c r="F3" s="4" t="s">
        <v>99</v>
      </c>
      <c r="G3" s="4" t="s">
        <v>8</v>
      </c>
      <c r="H3" s="4" t="s">
        <v>64</v>
      </c>
    </row>
    <row r="4" customFormat="false" ht="15" hidden="false" customHeight="true" outlineLevel="0" collapsed="false">
      <c r="A4" s="6" t="n">
        <v>1</v>
      </c>
      <c r="B4" s="6" t="s">
        <v>70</v>
      </c>
      <c r="C4" s="6" t="n">
        <v>0</v>
      </c>
      <c r="D4" s="6" t="n">
        <v>0</v>
      </c>
      <c r="E4" s="6" t="n">
        <v>9999</v>
      </c>
      <c r="F4" s="6" t="n">
        <v>-9999</v>
      </c>
      <c r="G4" s="6" t="n">
        <v>1</v>
      </c>
      <c r="H4" s="6" t="n">
        <v>1</v>
      </c>
    </row>
    <row r="6" customFormat="false" ht="15" hidden="false" customHeight="true" outlineLevel="0" collapsed="false">
      <c r="A6" s="3" t="s">
        <v>100</v>
      </c>
      <c r="B6" s="3"/>
      <c r="C6" s="3"/>
      <c r="D6" s="3"/>
      <c r="E6" s="3"/>
      <c r="F6" s="3"/>
      <c r="G6" s="3"/>
      <c r="H6" s="3"/>
    </row>
  </sheetData>
  <mergeCells count="3">
    <mergeCell ref="A1:H1"/>
    <mergeCell ref="A2:H2"/>
    <mergeCell ref="A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5"/>
    <col collapsed="false" customWidth="true" hidden="false" outlineLevel="0" max="3" min="3" style="1" width="45"/>
  </cols>
  <sheetData>
    <row r="1" customFormat="false" ht="34.5" hidden="false" customHeight="true" outlineLevel="0" collapsed="false">
      <c r="A1" s="2" t="s">
        <v>101</v>
      </c>
      <c r="B1" s="2"/>
      <c r="C1" s="2"/>
    </row>
    <row r="2" customFormat="false" ht="21.75" hidden="false" customHeight="true" outlineLevel="0" collapsed="false">
      <c r="A2" s="11" t="s">
        <v>102</v>
      </c>
      <c r="B2" s="12" t="s">
        <v>103</v>
      </c>
      <c r="C2" s="12" t="s">
        <v>104</v>
      </c>
    </row>
    <row r="3" customFormat="false" ht="21.75" hidden="false" customHeight="true" outlineLevel="0" collapsed="false">
      <c r="A3" s="13" t="s">
        <v>70</v>
      </c>
      <c r="B3" s="14" t="s">
        <v>105</v>
      </c>
      <c r="C3" s="14" t="s">
        <v>106</v>
      </c>
    </row>
    <row r="4" customFormat="false" ht="21.75" hidden="false" customHeight="true" outlineLevel="0" collapsed="false">
      <c r="A4" s="15" t="s">
        <v>107</v>
      </c>
      <c r="B4" s="16" t="s">
        <v>108</v>
      </c>
      <c r="C4" s="16" t="s">
        <v>109</v>
      </c>
    </row>
    <row r="5" customFormat="false" ht="21.75" hidden="false" customHeight="true" outlineLevel="0" collapsed="false">
      <c r="A5" s="13" t="s">
        <v>110</v>
      </c>
      <c r="B5" s="14" t="s">
        <v>111</v>
      </c>
      <c r="C5" s="14" t="s">
        <v>112</v>
      </c>
    </row>
    <row r="6" customFormat="false" ht="21.75" hidden="false" customHeight="true" outlineLevel="0" collapsed="false">
      <c r="A6" s="15" t="s">
        <v>113</v>
      </c>
      <c r="B6" s="16" t="s">
        <v>114</v>
      </c>
      <c r="C6" s="16" t="s">
        <v>115</v>
      </c>
    </row>
    <row r="7" customFormat="false" ht="21.75" hidden="false" customHeight="true" outlineLevel="0" collapsed="false">
      <c r="A7" s="13" t="s">
        <v>116</v>
      </c>
      <c r="B7" s="14" t="s">
        <v>117</v>
      </c>
      <c r="C7" s="14" t="s">
        <v>118</v>
      </c>
    </row>
    <row r="8" customFormat="false" ht="21.75" hidden="false" customHeight="true" outlineLevel="0" collapsed="false">
      <c r="A8" s="15" t="s">
        <v>119</v>
      </c>
      <c r="B8" s="16" t="s">
        <v>120</v>
      </c>
      <c r="C8" s="16" t="s">
        <v>121</v>
      </c>
    </row>
    <row r="9" customFormat="false" ht="21.75" hidden="false" customHeight="true" outlineLevel="0" collapsed="false">
      <c r="A9" s="13" t="s">
        <v>122</v>
      </c>
      <c r="B9" s="14" t="s">
        <v>123</v>
      </c>
      <c r="C9" s="14" t="s">
        <v>124</v>
      </c>
    </row>
    <row r="10" customFormat="false" ht="21.75" hidden="false" customHeight="true" outlineLevel="0" collapsed="false">
      <c r="A10" s="15" t="s">
        <v>125</v>
      </c>
      <c r="B10" s="16" t="s">
        <v>126</v>
      </c>
      <c r="C10" s="16" t="s">
        <v>127</v>
      </c>
    </row>
    <row r="11" customFormat="false" ht="21.75" hidden="false" customHeight="true" outlineLevel="0" collapsed="false">
      <c r="A11" s="13" t="s">
        <v>128</v>
      </c>
      <c r="B11" s="14" t="s">
        <v>129</v>
      </c>
      <c r="C11" s="14" t="s">
        <v>130</v>
      </c>
    </row>
    <row r="12" customFormat="false" ht="21.75" hidden="false" customHeight="true" outlineLevel="0" collapsed="false">
      <c r="A12" s="15" t="s">
        <v>131</v>
      </c>
      <c r="B12" s="16" t="s">
        <v>132</v>
      </c>
      <c r="C12" s="16" t="s">
        <v>133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4" min="2" style="1" width="18"/>
  </cols>
  <sheetData>
    <row r="1" customFormat="false" ht="30" hidden="false" customHeight="true" outlineLevel="0" collapsed="false">
      <c r="A1" s="2" t="s">
        <v>134</v>
      </c>
      <c r="B1" s="2"/>
      <c r="C1" s="2"/>
      <c r="D1" s="2"/>
    </row>
    <row r="2" customFormat="false" ht="15" hidden="false" customHeight="true" outlineLevel="0" collapsed="false">
      <c r="A2" s="3" t="s">
        <v>135</v>
      </c>
      <c r="B2" s="3"/>
      <c r="C2" s="3"/>
      <c r="D2" s="3"/>
    </row>
    <row r="3" customFormat="false" ht="15" hidden="false" customHeight="true" outlineLevel="0" collapsed="false">
      <c r="A3" s="4" t="s">
        <v>2</v>
      </c>
      <c r="B3" s="4" t="s">
        <v>136</v>
      </c>
      <c r="C3" s="4" t="s">
        <v>137</v>
      </c>
      <c r="D3" s="4" t="s">
        <v>138</v>
      </c>
    </row>
    <row r="4" customFormat="false" ht="15" hidden="false" customHeight="true" outlineLevel="0" collapsed="false">
      <c r="A4" s="8" t="n">
        <v>1</v>
      </c>
      <c r="B4" s="8" t="n">
        <v>1</v>
      </c>
      <c r="C4" s="17" t="s">
        <v>139</v>
      </c>
      <c r="D4" s="8" t="str">
        <f aca="false">IFERROR(IF(C4="","",B4-C4),"")</f>
        <v/>
      </c>
    </row>
    <row r="5" customFormat="false" ht="15" hidden="false" customHeight="true" outlineLevel="0" collapsed="false">
      <c r="A5" s="7" t="n">
        <v>2</v>
      </c>
      <c r="B5" s="7" t="n">
        <v>0.997</v>
      </c>
      <c r="C5" s="17" t="s">
        <v>139</v>
      </c>
      <c r="D5" s="8" t="str">
        <f aca="false">IFERROR(IF(C5="","",B5-C5),"")</f>
        <v/>
      </c>
    </row>
    <row r="6" customFormat="false" ht="15" hidden="false" customHeight="true" outlineLevel="0" collapsed="false">
      <c r="A6" s="8" t="n">
        <v>3</v>
      </c>
      <c r="B6" s="8" t="n">
        <v>0.9829</v>
      </c>
      <c r="C6" s="17" t="s">
        <v>139</v>
      </c>
      <c r="D6" s="8" t="str">
        <f aca="false">IFERROR(IF(C6="","",B6-C6),"")</f>
        <v/>
      </c>
    </row>
    <row r="7" customFormat="false" ht="15" hidden="false" customHeight="true" outlineLevel="0" collapsed="false">
      <c r="A7" s="7" t="n">
        <v>4</v>
      </c>
      <c r="B7" s="7" t="n">
        <v>0.9755</v>
      </c>
      <c r="C7" s="17" t="s">
        <v>139</v>
      </c>
      <c r="D7" s="8" t="str">
        <f aca="false">IFERROR(IF(C7="","",B7-C7),"")</f>
        <v/>
      </c>
    </row>
    <row r="8" customFormat="false" ht="15" hidden="false" customHeight="true" outlineLevel="0" collapsed="false">
      <c r="A8" s="8" t="n">
        <v>5</v>
      </c>
      <c r="B8" s="8" t="n">
        <v>0.9681</v>
      </c>
      <c r="C8" s="17" t="s">
        <v>139</v>
      </c>
      <c r="D8" s="8" t="str">
        <f aca="false">IFERROR(IF(C8="","",B8-C8),"")</f>
        <v/>
      </c>
    </row>
    <row r="9" customFormat="false" ht="15" hidden="false" customHeight="true" outlineLevel="0" collapsed="false">
      <c r="A9" s="7" t="n">
        <v>6</v>
      </c>
      <c r="B9" s="7" t="n">
        <v>0.9497</v>
      </c>
      <c r="C9" s="17" t="s">
        <v>139</v>
      </c>
      <c r="D9" s="8" t="str">
        <f aca="false">IFERROR(IF(C9="","",B9-C9),"")</f>
        <v/>
      </c>
    </row>
    <row r="10" customFormat="false" ht="15" hidden="false" customHeight="true" outlineLevel="0" collapsed="false">
      <c r="A10" s="8" t="n">
        <v>7</v>
      </c>
      <c r="B10" s="8" t="n">
        <v>0.9462</v>
      </c>
      <c r="C10" s="17" t="s">
        <v>139</v>
      </c>
      <c r="D10" s="8" t="str">
        <f aca="false">IFERROR(IF(C10="","",B10-C10),"")</f>
        <v/>
      </c>
    </row>
    <row r="11" customFormat="false" ht="15" hidden="false" customHeight="true" outlineLevel="0" collapsed="false">
      <c r="A11" s="7" t="n">
        <v>8</v>
      </c>
      <c r="B11" s="7" t="n">
        <v>0.9413</v>
      </c>
      <c r="C11" s="17" t="s">
        <v>139</v>
      </c>
      <c r="D11" s="8" t="str">
        <f aca="false">IFERROR(IF(C11="","",B11-C11),"")</f>
        <v/>
      </c>
    </row>
    <row r="12" customFormat="false" ht="15" hidden="false" customHeight="true" outlineLevel="0" collapsed="false">
      <c r="A12" s="8" t="n">
        <v>9</v>
      </c>
      <c r="B12" s="8" t="n">
        <v>0.9351</v>
      </c>
      <c r="C12" s="17" t="s">
        <v>139</v>
      </c>
      <c r="D12" s="8" t="str">
        <f aca="false">IFERROR(IF(C12="","",B12-C12),"")</f>
        <v/>
      </c>
    </row>
    <row r="13" customFormat="false" ht="15" hidden="false" customHeight="true" outlineLevel="0" collapsed="false">
      <c r="A13" s="7" t="n">
        <v>10</v>
      </c>
      <c r="B13" s="7" t="n">
        <v>0.9292</v>
      </c>
      <c r="C13" s="17" t="s">
        <v>139</v>
      </c>
      <c r="D13" s="8" t="str">
        <f aca="false">IFERROR(IF(C13="","",B13-C13),"")</f>
        <v/>
      </c>
    </row>
    <row r="14" customFormat="false" ht="15" hidden="false" customHeight="true" outlineLevel="0" collapsed="false">
      <c r="A14" s="8" t="n">
        <v>11</v>
      </c>
      <c r="B14" s="8" t="n">
        <v>0.9284</v>
      </c>
      <c r="C14" s="17" t="s">
        <v>139</v>
      </c>
      <c r="D14" s="8" t="str">
        <f aca="false">IFERROR(IF(C14="","",B14-C14),"")</f>
        <v/>
      </c>
    </row>
    <row r="15" customFormat="false" ht="15" hidden="false" customHeight="true" outlineLevel="0" collapsed="false">
      <c r="A15" s="7" t="n">
        <v>12</v>
      </c>
      <c r="B15" s="7" t="n">
        <v>0.927</v>
      </c>
      <c r="C15" s="17" t="s">
        <v>139</v>
      </c>
      <c r="D15" s="8" t="str">
        <f aca="false">IFERROR(IF(C15="","",B15-C15),"")</f>
        <v/>
      </c>
    </row>
    <row r="16" customFormat="false" ht="15" hidden="false" customHeight="true" outlineLevel="0" collapsed="false">
      <c r="A16" s="8" t="n">
        <v>13</v>
      </c>
      <c r="B16" s="8" t="n">
        <v>0.9208</v>
      </c>
      <c r="C16" s="17" t="s">
        <v>139</v>
      </c>
      <c r="D16" s="8" t="str">
        <f aca="false">IFERROR(IF(C16="","",B16-C16),"")</f>
        <v/>
      </c>
    </row>
    <row r="17" customFormat="false" ht="15" hidden="false" customHeight="true" outlineLevel="0" collapsed="false">
      <c r="A17" s="7" t="n">
        <v>14</v>
      </c>
      <c r="B17" s="7" t="n">
        <v>0.9185</v>
      </c>
      <c r="C17" s="17" t="s">
        <v>139</v>
      </c>
      <c r="D17" s="8" t="str">
        <f aca="false">IFERROR(IF(C17="","",B17-C17),"")</f>
        <v/>
      </c>
    </row>
    <row r="18" customFormat="false" ht="15" hidden="false" customHeight="true" outlineLevel="0" collapsed="false">
      <c r="A18" s="8" t="n">
        <v>15</v>
      </c>
      <c r="B18" s="8" t="n">
        <v>0.9171</v>
      </c>
      <c r="C18" s="17" t="s">
        <v>139</v>
      </c>
      <c r="D18" s="8" t="str">
        <f aca="false">IFERROR(IF(C18="","",B18-C18),"")</f>
        <v/>
      </c>
    </row>
    <row r="19" customFormat="false" ht="15" hidden="false" customHeight="true" outlineLevel="0" collapsed="false">
      <c r="A19" s="7" t="n">
        <v>16</v>
      </c>
      <c r="B19" s="7" t="n">
        <v>0.9132</v>
      </c>
      <c r="C19" s="17" t="s">
        <v>139</v>
      </c>
      <c r="D19" s="8" t="str">
        <f aca="false">IFERROR(IF(C19="","",B19-C19),"")</f>
        <v/>
      </c>
    </row>
    <row r="20" customFormat="false" ht="15" hidden="false" customHeight="true" outlineLevel="0" collapsed="false">
      <c r="A20" s="8" t="n">
        <v>17</v>
      </c>
      <c r="B20" s="8" t="n">
        <v>0.9131</v>
      </c>
      <c r="C20" s="17" t="s">
        <v>139</v>
      </c>
      <c r="D20" s="8" t="str">
        <f aca="false">IFERROR(IF(C20="","",B20-C20),"")</f>
        <v/>
      </c>
    </row>
    <row r="21" customFormat="false" ht="15" hidden="false" customHeight="true" outlineLevel="0" collapsed="false">
      <c r="A21" s="7" t="n">
        <v>18</v>
      </c>
      <c r="B21" s="7" t="n">
        <v>0.9965</v>
      </c>
      <c r="C21" s="17" t="s">
        <v>139</v>
      </c>
      <c r="D21" s="8" t="str">
        <f aca="false">IFERROR(IF(C21="","",B21-C21),"")</f>
        <v/>
      </c>
    </row>
    <row r="22" customFormat="false" ht="15" hidden="false" customHeight="true" outlineLevel="0" collapsed="false">
      <c r="A22" s="8" t="n">
        <v>19</v>
      </c>
      <c r="B22" s="8" t="n">
        <v>0.9929</v>
      </c>
      <c r="C22" s="17" t="s">
        <v>139</v>
      </c>
      <c r="D22" s="8" t="str">
        <f aca="false">IFERROR(IF(C22="","",B22-C22),"")</f>
        <v/>
      </c>
    </row>
    <row r="23" customFormat="false" ht="15" hidden="false" customHeight="true" outlineLevel="0" collapsed="false">
      <c r="A23" s="7" t="n">
        <v>20</v>
      </c>
      <c r="B23" s="7" t="n">
        <v>0.9922</v>
      </c>
      <c r="C23" s="17" t="s">
        <v>139</v>
      </c>
      <c r="D23" s="8" t="str">
        <f aca="false">IFERROR(IF(C23="","",B23-C23),"")</f>
        <v/>
      </c>
    </row>
    <row r="24" customFormat="false" ht="15" hidden="false" customHeight="true" outlineLevel="0" collapsed="false">
      <c r="A24" s="8" t="n">
        <v>21</v>
      </c>
      <c r="B24" s="8" t="n">
        <v>0.9916</v>
      </c>
      <c r="C24" s="17" t="s">
        <v>139</v>
      </c>
      <c r="D24" s="8" t="str">
        <f aca="false">IFERROR(IF(C24="","",B24-C24),"")</f>
        <v/>
      </c>
    </row>
    <row r="25" customFormat="false" ht="15" hidden="false" customHeight="true" outlineLevel="0" collapsed="false">
      <c r="A25" s="7" t="n">
        <v>22</v>
      </c>
      <c r="B25" s="7" t="n">
        <v>0.9827</v>
      </c>
      <c r="C25" s="17" t="s">
        <v>139</v>
      </c>
      <c r="D25" s="8" t="str">
        <f aca="false">IFERROR(IF(C25="","",B25-C25),"")</f>
        <v/>
      </c>
    </row>
    <row r="26" customFormat="false" ht="15" hidden="false" customHeight="true" outlineLevel="0" collapsed="false">
      <c r="A26" s="8" t="n">
        <v>23</v>
      </c>
      <c r="B26" s="8" t="n">
        <v>0.9794</v>
      </c>
      <c r="C26" s="17" t="s">
        <v>139</v>
      </c>
      <c r="D26" s="8" t="str">
        <f aca="false">IFERROR(IF(C26="","",B26-C26),"")</f>
        <v/>
      </c>
    </row>
    <row r="27" customFormat="false" ht="15" hidden="false" customHeight="true" outlineLevel="0" collapsed="false">
      <c r="A27" s="7" t="n">
        <v>24</v>
      </c>
      <c r="B27" s="7" t="n">
        <v>0.9727</v>
      </c>
      <c r="C27" s="17" t="s">
        <v>139</v>
      </c>
      <c r="D27" s="8" t="str">
        <f aca="false">IFERROR(IF(C27="","",B27-C27),"")</f>
        <v/>
      </c>
    </row>
    <row r="28" customFormat="false" ht="15" hidden="false" customHeight="true" outlineLevel="0" collapsed="false">
      <c r="A28" s="8" t="n">
        <v>25</v>
      </c>
      <c r="B28" s="8" t="n">
        <v>0.9694</v>
      </c>
      <c r="C28" s="17" t="s">
        <v>139</v>
      </c>
      <c r="D28" s="8" t="str">
        <f aca="false">IFERROR(IF(C28="","",B28-C28),"")</f>
        <v/>
      </c>
    </row>
    <row r="29" customFormat="false" ht="15" hidden="false" customHeight="true" outlineLevel="0" collapsed="false">
      <c r="A29" s="7" t="n">
        <v>26</v>
      </c>
      <c r="B29" s="7" t="n">
        <v>0.9477</v>
      </c>
      <c r="C29" s="17" t="s">
        <v>139</v>
      </c>
      <c r="D29" s="8" t="str">
        <f aca="false">IFERROR(IF(C29="","",B29-C29),"")</f>
        <v/>
      </c>
    </row>
    <row r="30" customFormat="false" ht="15" hidden="false" customHeight="true" outlineLevel="0" collapsed="false">
      <c r="A30" s="8" t="n">
        <v>27</v>
      </c>
      <c r="B30" s="8" t="n">
        <v>0.9449</v>
      </c>
      <c r="C30" s="17" t="s">
        <v>139</v>
      </c>
      <c r="D30" s="8" t="str">
        <f aca="false">IFERROR(IF(C30="","",B30-C30),"")</f>
        <v/>
      </c>
    </row>
    <row r="31" customFormat="false" ht="15" hidden="false" customHeight="true" outlineLevel="0" collapsed="false">
      <c r="A31" s="7" t="n">
        <v>28</v>
      </c>
      <c r="B31" s="7" t="n">
        <v>0.9337</v>
      </c>
      <c r="C31" s="17" t="s">
        <v>139</v>
      </c>
      <c r="D31" s="8" t="str">
        <f aca="false">IFERROR(IF(C31="","",B31-C31),"")</f>
        <v/>
      </c>
    </row>
    <row r="32" customFormat="false" ht="15" hidden="false" customHeight="true" outlineLevel="0" collapsed="false">
      <c r="A32" s="8" t="n">
        <v>29</v>
      </c>
      <c r="B32" s="8" t="n">
        <v>0.9255</v>
      </c>
      <c r="C32" s="17" t="s">
        <v>139</v>
      </c>
      <c r="D32" s="8" t="str">
        <f aca="false">IFERROR(IF(C32="","",B32-C32),"")</f>
        <v/>
      </c>
    </row>
    <row r="33" customFormat="false" ht="15" hidden="false" customHeight="true" outlineLevel="0" collapsed="false">
      <c r="A33" s="7" t="n">
        <v>30</v>
      </c>
      <c r="B33" s="7" t="n">
        <v>0.922</v>
      </c>
      <c r="C33" s="17" t="s">
        <v>139</v>
      </c>
      <c r="D33" s="8" t="str">
        <f aca="false">IFERROR(IF(C33="","",B33-C33),"")</f>
        <v/>
      </c>
    </row>
    <row r="34" customFormat="false" ht="15" hidden="false" customHeight="true" outlineLevel="0" collapsed="false">
      <c r="A34" s="8" t="n">
        <v>31</v>
      </c>
      <c r="B34" s="8" t="n">
        <v>0.9178</v>
      </c>
      <c r="C34" s="17" t="s">
        <v>139</v>
      </c>
      <c r="D34" s="8" t="str">
        <f aca="false">IFERROR(IF(C34="","",B34-C34),"")</f>
        <v/>
      </c>
    </row>
    <row r="35" customFormat="false" ht="15" hidden="false" customHeight="true" outlineLevel="0" collapsed="false">
      <c r="A35" s="7" t="n">
        <v>32</v>
      </c>
      <c r="B35" s="7" t="n">
        <v>0.9168</v>
      </c>
      <c r="C35" s="17" t="s">
        <v>139</v>
      </c>
      <c r="D35" s="8" t="str">
        <f aca="false">IFERROR(IF(C35="","",B35-C35),"")</f>
        <v/>
      </c>
    </row>
    <row r="36" customFormat="false" ht="15" hidden="false" customHeight="true" outlineLevel="0" collapsed="false">
      <c r="A36" s="8" t="n">
        <v>33</v>
      </c>
      <c r="B36" s="8"/>
      <c r="C36" s="17" t="s">
        <v>139</v>
      </c>
      <c r="D36" s="8" t="str">
        <f aca="false">IFERROR(IF(C36="","",B36-C36),"")</f>
        <v/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2026-05-08T09:37:38Z</dcterms:created>
  <dc:creator>openpyxl</dc:creator>
  <dc:description/>
  <dc:language>en-US</dc:language>
  <cp:lastModifiedBy/>
  <dcterms:modified xsi:type="dcterms:W3CDTF">2026-05-08T09:38:12Z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